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bout" sheetId="1" state="visible" r:id="rId3"/>
    <sheet name="Inputs" sheetId="2" state="visible" r:id="rId4"/>
    <sheet name="Boundaries" sheetId="3" state="visible" r:id="rId5"/>
    <sheet name="Factors &amp; Sources" sheetId="4" state="visible" r:id="rId6"/>
    <sheet name="Calculations" sheetId="5" state="visible" r:id="rId7"/>
    <sheet name="Summary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<sst xmlns="http://schemas.openxmlformats.org/spreadsheetml/2006/main" count="342" uniqueCount="211">
  <si>
    <t xml:space="preserve">GHG Inventory Model: Textile Manufacturer (Portfolio Version)</t>
  </si>
  <si>
    <t xml:space="preserve">Company: Northline Knitwear (fictional). All inputs are fictional and were created for this portfolio.</t>
  </si>
  <si>
    <t xml:space="preserve">The methodology, boundaries, assumptions and emission factors reflect the original client project.</t>
  </si>
  <si>
    <t xml:space="preserve">Standard: GHG Protocol Corporate Standard, operational control approach. Reporting year: fictional FY2024.</t>
  </si>
  <si>
    <t xml:space="preserve">How to read this workbook</t>
  </si>
  <si>
    <t xml:space="preserve">Inputs: all activity data. Blue text = hardcoded input. Change any input and every total updates.</t>
  </si>
  <si>
    <t xml:space="preserve">Boundaries: which Scope 1, 2 and 3 categories are included, and why others are excluded.</t>
  </si>
  <si>
    <t xml:space="preserve">Calculations: activity x emission factor for each source. Green text = link to Inputs.</t>
  </si>
  <si>
    <t xml:space="preserve">Summary: totals by scope and category, with charts.</t>
  </si>
  <si>
    <t xml:space="preserve">Factors &amp; Sources: every emission factor used and where it comes from.</t>
  </si>
  <si>
    <t xml:space="preserve">Prepared by Harshita Sadhna</t>
  </si>
  <si>
    <t xml:space="preserve">Activity inputs (fictional)</t>
  </si>
  <si>
    <t xml:space="preserve">Month</t>
  </si>
  <si>
    <t xml:space="preserve">Natural gas (m3)</t>
  </si>
  <si>
    <t xml:space="preserve">Electricity (kWh)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</si>
  <si>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</si>
  <si>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</si>
  <si>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</si>
  <si>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</si>
  <si>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</si>
  <si>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</si>
  <si>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</si>
  <si>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</si>
  <si>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</si>
  <si>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</si>
  <si>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</si>
  <si>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</si>
  <si>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Total</t>
  </si>
  <si>
    <t xml:space="preserve">Input</t>
  </si>
  <si>
    <t xml:space="preserve">Value</t>
  </si>
  <si>
    <t xml:space="preserve">Unit</t>
  </si>
  <si>
    <t xml:space="preserve">Note</t>
  </si>
  <si>
    <t xml:space="preserve">Fleet fuel spend</t>
  </si>
  <si>
    <t xml:space="preserve">USD</t>
  </si>
  <si>
    <t xml:space="preserve">No fuel records; spend-based estimate</t>
  </si>
  <si>
    <t xml:space="preserve">Total yarn purchased</t>
  </si>
  <si>
    <t xml:space="preserve">kg</t>
  </si>
  <si>
    <t xml:space="preserve">Annual purchases</t>
  </si>
  <si>
    <t xml:space="preserve">Share sourced from India</t>
  </si>
  <si>
    <t xml:space="preserve">%</t>
  </si>
  <si>
    <t xml:space="preserve">Equal split by fibre assumed within each country</t>
  </si>
  <si>
    <t xml:space="preserve">Share sourced from China</t>
  </si>
  <si>
    <t xml:space="preserve">Share sourced from US</t>
  </si>
  <si>
    <t xml:space="preserve">Cotton share of yarn</t>
  </si>
  <si>
    <t xml:space="preserve">Poly-cotton blend split into fibres</t>
  </si>
  <si>
    <t xml:space="preserve">Polyester share of yarn</t>
  </si>
  <si>
    <t xml:space="preserve">Polyester fabric purchased</t>
  </si>
  <si>
    <t xml:space="preserve">Imported from China</t>
  </si>
  <si>
    <t xml:space="preserve">Sea distance India port to West Coast</t>
  </si>
  <si>
    <t xml:space="preserve">km</t>
  </si>
  <si>
    <t xml:space="preserve">Nearest major export hub assumed</t>
  </si>
  <si>
    <t xml:space="preserve">Sea distance China port to West Coast</t>
  </si>
  <si>
    <t xml:space="preserve">Sea distance US port to West Coast</t>
  </si>
  <si>
    <t xml:space="preserve">Rail distance port to facility city</t>
  </si>
  <si>
    <t xml:space="preserve">Truck distance rail yard to facility</t>
  </si>
  <si>
    <t xml:space="preserve">Heavy-duty truck assumed</t>
  </si>
  <si>
    <t xml:space="preserve">Yarn shipped to customers</t>
  </si>
  <si>
    <t xml:space="preserve">Fabric shipped to customers</t>
  </si>
  <si>
    <t xml:space="preserve">Share of shipments to US</t>
  </si>
  <si>
    <t xml:space="preserve">Customer addresses unknown; average distance</t>
  </si>
  <si>
    <t xml:space="preserve">Average distance to US customers</t>
  </si>
  <si>
    <t xml:space="preserve">Share of shipments to Quebec</t>
  </si>
  <si>
    <t xml:space="preserve">Average distance to Quebec</t>
  </si>
  <si>
    <t xml:space="preserve">Share of shipments within Ontario</t>
  </si>
  <si>
    <t xml:space="preserve">Average distance within Ontario</t>
  </si>
  <si>
    <t xml:space="preserve">Share of shipments to Alberta</t>
  </si>
  <si>
    <t xml:space="preserve">Average distance to Alberta</t>
  </si>
  <si>
    <t xml:space="preserve">Employees</t>
  </si>
  <si>
    <t xml:space="preserve">people</t>
  </si>
  <si>
    <t xml:space="preserve">Working days per year</t>
  </si>
  <si>
    <t xml:space="preserve">days</t>
  </si>
  <si>
    <t xml:space="preserve">Round-trip commute distance</t>
  </si>
  <si>
    <t xml:space="preserve">Assumed average</t>
  </si>
  <si>
    <t xml:space="preserve">Employees who drive alone</t>
  </si>
  <si>
    <t xml:space="preserve">From commute survey (fictional)</t>
  </si>
  <si>
    <t xml:space="preserve">Employees who carpool</t>
  </si>
  <si>
    <t xml:space="preserve">2 per car assumed</t>
  </si>
  <si>
    <t xml:space="preserve">Employees who take transit</t>
  </si>
  <si>
    <t xml:space="preserve">Business flights per year</t>
  </si>
  <si>
    <t xml:space="preserve">flights</t>
  </si>
  <si>
    <t xml:space="preserve">1 passenger per flight assumed</t>
  </si>
  <si>
    <t xml:space="preserve">Average flight distance</t>
  </si>
  <si>
    <t xml:space="preserve">All medium-haul; regional averages</t>
  </si>
  <si>
    <t xml:space="preserve">Operational boundary</t>
  </si>
  <si>
    <t xml:space="preserve">Scope</t>
  </si>
  <si>
    <t xml:space="preserve">Category</t>
  </si>
  <si>
    <t xml:space="preserve">Included?</t>
  </si>
  <si>
    <t xml:space="preserve">Reason</t>
  </si>
  <si>
    <t xml:space="preserve">Scope 1</t>
  </si>
  <si>
    <t xml:space="preserve">Stationary combustion</t>
  </si>
  <si>
    <t xml:space="preserve">Yes</t>
  </si>
  <si>
    <t xml:space="preserve">Natural gas used at the knitting facility; monthly utility bills</t>
  </si>
  <si>
    <t xml:space="preserve">Mobile combustion</t>
  </si>
  <si>
    <t xml:space="preserve">Company-owned vehicles; spend-based estimate as no fuel logs exist</t>
  </si>
  <si>
    <t xml:space="preserve">Fugitive emissions</t>
  </si>
  <si>
    <t xml:space="preserve">No</t>
  </si>
  <si>
    <t xml:space="preserve">No refrigerants or industrial gases used in operations</t>
  </si>
  <si>
    <t xml:space="preserve">Scope 2</t>
  </si>
  <si>
    <t xml:space="preserve">Purchased electricity</t>
  </si>
  <si>
    <t xml:space="preserve">Knitting facility electricity; monthly utility bills</t>
  </si>
  <si>
    <t xml:space="preserve">Scope 3</t>
  </si>
  <si>
    <t xml:space="preserve">1 Purchased goods and services</t>
  </si>
  <si>
    <t xml:space="preserve">Yarn by fibre and sourcing country, and purchased fabric; activity-based</t>
  </si>
  <si>
    <t xml:space="preserve">2 Capital goods</t>
  </si>
  <si>
    <t xml:space="preserve">No data on machinery and equipment purchases</t>
  </si>
  <si>
    <t xml:space="preserve">3 Fuel- and energy-related activities</t>
  </si>
  <si>
    <t xml:space="preserve">Not material; energy use already covered in Scopes 1 and 2</t>
  </si>
  <si>
    <t xml:space="preserve">4 Upstream transportation</t>
  </si>
  <si>
    <t xml:space="preserve">Inbound sea, rail and truck freight; tonne-km method</t>
  </si>
  <si>
    <t xml:space="preserve">5 Waste from operations</t>
  </si>
  <si>
    <t xml:space="preserve">Waste data exists but is not tracked; recommended for next cycle</t>
  </si>
  <si>
    <t xml:space="preserve">6 Business travel</t>
  </si>
  <si>
    <t xml:space="preserve">Flights only; hotels and ground transport excluded</t>
  </si>
  <si>
    <t xml:space="preserve">7 Employee commuting</t>
  </si>
  <si>
    <t xml:space="preserve">Commute mode split by employee</t>
  </si>
  <si>
    <t xml:space="preserve">8 Upstream leased assets</t>
  </si>
  <si>
    <t xml:space="preserve">Not applicable</t>
  </si>
  <si>
    <t xml:space="preserve">9 Downstream transportation</t>
  </si>
  <si>
    <t xml:space="preserve">Outbound truck freight to customers; average distances</t>
  </si>
  <si>
    <t xml:space="preserve">10 Processing of sold products</t>
  </si>
  <si>
    <t xml:space="preserve">Dyeing and finishing site is outside operational control; recommended for future</t>
  </si>
  <si>
    <t xml:space="preserve">11 Use of sold products</t>
  </si>
  <si>
    <t xml:space="preserve">Recommended for future; estimate from washes x energy per wash</t>
  </si>
  <si>
    <t xml:space="preserve">12 End-of-life treatment</t>
  </si>
  <si>
    <t xml:space="preserve">Recommended for future; disposal split x factors</t>
  </si>
  <si>
    <t xml:space="preserve">13 to 15</t>
  </si>
  <si>
    <t xml:space="preserve">Not applicable: no downstream leased assets, franchises or investments</t>
  </si>
  <si>
    <t xml:space="preserve">Emission factors</t>
  </si>
  <si>
    <t xml:space="preserve">Factor</t>
  </si>
  <si>
    <t xml:space="preserve">Source</t>
  </si>
  <si>
    <t xml:space="preserve">Natural gas</t>
  </si>
  <si>
    <t xml:space="preserve">tCO2e per m3</t>
  </si>
  <si>
    <t xml:space="preserve">Environment and Climate Change Canada, National Inventory Report (2024)</t>
  </si>
  <si>
    <t xml:space="preserve">Ontario grid electricity</t>
  </si>
  <si>
    <t xml:space="preserve">tCO2e per kWh</t>
  </si>
  <si>
    <t xml:space="preserve">Fleet fuel (spend-based)</t>
  </si>
  <si>
    <t xml:space="preserve">tCO2e per USD</t>
  </si>
  <si>
    <t xml:space="preserve">US EPA Supply Chain GHG Emission Factors v1.3 by NAICS-6</t>
  </si>
  <si>
    <t xml:space="preserve">Cotton yarn, India</t>
  </si>
  <si>
    <t xml:space="preserve">tCO2e per tonne</t>
  </si>
  <si>
    <t xml:space="preserve">Peer-reviewed LCA literature (see References)</t>
  </si>
  <si>
    <t xml:space="preserve">Cotton yarn, China</t>
  </si>
  <si>
    <t xml:space="preserve">Cotton yarn, US</t>
  </si>
  <si>
    <t xml:space="preserve">Polyester yarn</t>
  </si>
  <si>
    <t xml:space="preserve">Polyester fabric</t>
  </si>
  <si>
    <t xml:space="preserve">Sea freight</t>
  </si>
  <si>
    <t xml:space="preserve">kgCO2e per tonne-km</t>
  </si>
  <si>
    <t xml:space="preserve">Original project factor set</t>
  </si>
  <si>
    <t xml:space="preserve">Rail freight</t>
  </si>
  <si>
    <t xml:space="preserve">CN Carbon Calculator emission factors</t>
  </si>
  <si>
    <t xml:space="preserve">Heavy-duty truck</t>
  </si>
  <si>
    <t xml:space="preserve">Car, per vehicle-km</t>
  </si>
  <si>
    <t xml:space="preserve">kgCO2e per km</t>
  </si>
  <si>
    <t xml:space="preserve">ICCT Canada fleet data</t>
  </si>
  <si>
    <t xml:space="preserve">Transit, per passenger-km</t>
  </si>
  <si>
    <t xml:space="preserve">kgCO2e per pkm</t>
  </si>
  <si>
    <t xml:space="preserve">BC Methodology for Quantifying GHG Emissions (2024)</t>
  </si>
  <si>
    <t xml:space="preserve">Medium-haul flight</t>
  </si>
  <si>
    <t xml:space="preserve">References</t>
  </si>
  <si>
    <t xml:space="preserve">Fois, F. et al. (2025). Environmental impacts of cotton and polyester textile management strategies. Environmental Impact Assessment Review, 116, 108088.</t>
  </si>
  <si>
    <t xml:space="preserve">Environment and Climate Change Canada (2024). National Inventory Report. publications.gc.ca/collections/collection_2024/eccc/En84-294-2024-eng.pdf</t>
  </si>
  <si>
    <t xml:space="preserve">US EPA. Supply Chain Greenhouse Gas Emission Factors v1.3 by NAICS-6. catalog.data.gov</t>
  </si>
  <si>
    <t xml:space="preserve">Journal of Cleaner Production: sciencedirect.com/science/article/pii/S0959652614006702</t>
  </si>
  <si>
    <t xml:space="preserve">sciencedirect.com/science/article/pii/S266701002500006X</t>
  </si>
  <si>
    <t xml:space="preserve">CN Carbon Calculator Emission Factors. cn.ca</t>
  </si>
  <si>
    <t xml:space="preserve">ICCT (2018). Canada CAFE fleet data. theicct.org</t>
  </si>
  <si>
    <t xml:space="preserve">Government of BC (2024). Methodology for Quantifying Greenhouse Gas Emissions.</t>
  </si>
  <si>
    <t xml:space="preserve">Note: emission factors were carried over from the original analysis. Check each against the latest published version before reuse.</t>
  </si>
  <si>
    <t xml:space="preserve">Emissions calculations: activity x emission factor</t>
  </si>
  <si>
    <t xml:space="preserve">Activity</t>
  </si>
  <si>
    <t xml:space="preserve">Factor value</t>
  </si>
  <si>
    <t xml:space="preserve">tCO2e</t>
  </si>
  <si>
    <t xml:space="preserve">Natural gas, knitting facility</t>
  </si>
  <si>
    <t xml:space="preserve">m3</t>
  </si>
  <si>
    <t xml:space="preserve">Company-owned vehicles</t>
  </si>
  <si>
    <t xml:space="preserve">kWh</t>
  </si>
  <si>
    <t xml:space="preserve">Cat 1: Cotton yarn, India</t>
  </si>
  <si>
    <t xml:space="preserve">tonnes</t>
  </si>
  <si>
    <t xml:space="preserve">Cat 1: Cotton yarn, China</t>
  </si>
  <si>
    <t xml:space="preserve">Cat 1: Cotton yarn, US</t>
  </si>
  <si>
    <t xml:space="preserve">Cat 1: Polyester yarn, India</t>
  </si>
  <si>
    <t xml:space="preserve">Cat 1: Polyester yarn, China</t>
  </si>
  <si>
    <t xml:space="preserve">Cat 1: Polyester yarn, US</t>
  </si>
  <si>
    <t xml:space="preserve">Cat 1: Polyester fabric</t>
  </si>
  <si>
    <t xml:space="preserve">Cat 4: Inbound sea freight</t>
  </si>
  <si>
    <t xml:space="preserve">tonne-km</t>
  </si>
  <si>
    <t xml:space="preserve">Cat 4: Inbound rail freight</t>
  </si>
  <si>
    <t xml:space="preserve">Cat 4: Inbound truck freight</t>
  </si>
  <si>
    <t xml:space="preserve">Cat 9: Outbound truck to customers</t>
  </si>
  <si>
    <t xml:space="preserve">Cat 7: Commuting, drive alone</t>
  </si>
  <si>
    <t xml:space="preserve">vehicle-km</t>
  </si>
  <si>
    <t xml:space="preserve">Cat 7: Commuting, carpool</t>
  </si>
  <si>
    <t xml:space="preserve">Cat 7: Commuting, transit</t>
  </si>
  <si>
    <t xml:space="preserve">passenger-km</t>
  </si>
  <si>
    <t xml:space="preserve">Cat 6: Business travel, flights</t>
  </si>
  <si>
    <t xml:space="preserve">Summary</t>
  </si>
  <si>
    <t xml:space="preserve">Share</t>
  </si>
  <si>
    <t xml:space="preserve">Scope 3 category</t>
  </si>
  <si>
    <t xml:space="preserve">Share of Scope 3</t>
  </si>
  <si>
    <t xml:space="preserve">Cat 1: Cotton yarn</t>
  </si>
  <si>
    <t xml:space="preserve">Cat 1: Polyester yarn</t>
  </si>
  <si>
    <t xml:space="preserve">Cat 4: Upstream transport</t>
  </si>
  <si>
    <t xml:space="preserve">Cat 9: Downstream transport</t>
  </si>
  <si>
    <t xml:space="preserve">Cat 7: Employee commuting</t>
  </si>
  <si>
    <t xml:space="preserve">Cat 6: Business travel</t>
  </si>
  <si>
    <t xml:space="preserve">Yarn emissions by country</t>
  </si>
  <si>
    <t xml:space="preserve">Cotton tCO2e</t>
  </si>
  <si>
    <t xml:space="preserve">Polyester tCO2e</t>
  </si>
  <si>
    <t xml:space="preserve">India</t>
  </si>
  <si>
    <t xml:space="preserve">China</t>
  </si>
  <si>
    <t xml:space="preserve">US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</si>
</sst>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0%"/>
    <numFmt numFmtId="167" formatCode="0.000000"/>
    <numFmt numFmtId="168" formatCode="#,##0.0"/>
    <numFmt numFmtId="169" formatCode="0.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11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3D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C0504D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4E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Scope 3 emissions by category (tCO2e)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Summary!$A$10:$A$16</c:f>
              <c:strCache>
                <c:ptCount val="7"/>
                <c:pt idx="0">
                  <c:v>Cat 1: Cotton yarn</c:v>
                </c:pt>
                <c:pt idx="1">
                  <c:v>Cat 1: Polyester yarn</c:v>
                </c:pt>
                <c:pt idx="2">
                  <c:v>Cat 1: Polyester fabric</c:v>
                </c:pt>
                <c:pt idx="3">
                  <c:v>Cat 4: Upstream transport</c:v>
                </c:pt>
                <c:pt idx="4">
                  <c:v>Cat 9: Downstream transport</c:v>
                </c:pt>
                <c:pt idx="5">
                  <c:v>Cat 7: Employee commuting</c:v>
                </c:pt>
                <c:pt idx="6">
                  <c:v>Cat 6: Business travel</c:v>
                </c:pt>
              </c:strCache>
            </c:strRef>
          </c:cat>
          <c:val>
            <c:numRef>
              <c:f>Summary!$B$10:$B$16</c:f>
              <c:numCache>
                <c:formatCode>#,##0.0</c:formatCode>
                <c:ptCount val="7"/>
                <c:pt idx="0">
                  <c:v>2088</c:v>
                </c:pt>
                <c:pt idx="1">
                  <c:v>2856</c:v>
                </c:pt>
                <c:pt idx="2">
                  <c:v>2570</c:v>
                </c:pt>
                <c:pt idx="3">
                  <c:v>165.988276</c:v>
                </c:pt>
                <c:pt idx="4">
                  <c:v>69.3306768</c:v>
                </c:pt>
                <c:pt idx="5">
                  <c:v>18.6912864</c:v>
                </c:pt>
                <c:pt idx="6">
                  <c:v>5.0344</c:v>
                </c:pt>
              </c:numCache>
            </c:numRef>
          </c:val>
        </c:ser>
        <c:gapWidth val="150"/>
        <c:overlap val="0"/>
        <c:axId val="39288207"/>
        <c:axId val="18487282"/>
      </c:barChart>
      <c:catAx>
        <c:axId val="39288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8487282"/>
        <c:crosses val="autoZero"/>
        <c:auto val="1"/>
        <c:lblAlgn val="ctr"/>
        <c:lblOffset val="100"/>
        <c:noMultiLvlLbl val="0"/>
      </c:catAx>
      <c:valAx>
        <c:axId val="1848728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928820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Yarn emissions by sourcing country (tCO2e)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Summary!B19</c:f>
              <c:strCache>
                <c:ptCount val="1"/>
                <c:pt idx="0">
                  <c:v>Cotton tCO2e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Summary!$A$20:$A$22</c:f>
              <c:strCache>
                <c:ptCount val="3"/>
                <c:pt idx="0">
                  <c:v>India</c:v>
                </c:pt>
                <c:pt idx="1">
                  <c:v>China</c:v>
                </c:pt>
                <c:pt idx="2">
                  <c:v>US</c:v>
                </c:pt>
              </c:strCache>
            </c:strRef>
          </c:cat>
          <c:val>
            <c:numRef>
              <c:f>Summary!$B$20:$B$22</c:f>
              <c:numCache>
                <c:formatCode>#,##0.0</c:formatCode>
                <c:ptCount val="3"/>
                <c:pt idx="0">
                  <c:v>1073</c:v>
                </c:pt>
                <c:pt idx="1">
                  <c:v>716.59</c:v>
                </c:pt>
                <c:pt idx="2">
                  <c:v>298.41</c:v>
                </c:pt>
              </c:numCache>
            </c:numRef>
          </c:val>
        </c:ser>
        <c:ser>
          <c:idx val="1"/>
          <c:order val="1"/>
          <c:tx>
            <c:strRef>
              <c:f>Summary!C19</c:f>
              <c:strCache>
                <c:ptCount val="1"/>
                <c:pt idx="0">
                  <c:v>Polyester tCO2e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Summary!$A$20:$A$22</c:f>
              <c:strCache>
                <c:ptCount val="3"/>
                <c:pt idx="0">
                  <c:v>India</c:v>
                </c:pt>
                <c:pt idx="1">
                  <c:v>China</c:v>
                </c:pt>
                <c:pt idx="2">
                  <c:v>US</c:v>
                </c:pt>
              </c:strCache>
            </c:strRef>
          </c:cat>
          <c:val>
            <c:numRef>
              <c:f>Summary!$C$20:$C$22</c:f>
              <c:numCache>
                <c:formatCode>#,##0.0</c:formatCode>
                <c:ptCount val="3"/>
                <c:pt idx="0">
                  <c:v>1428</c:v>
                </c:pt>
                <c:pt idx="1">
                  <c:v>999.6</c:v>
                </c:pt>
                <c:pt idx="2">
                  <c:v>428.4</c:v>
                </c:pt>
              </c:numCache>
            </c:numRef>
          </c:val>
        </c:ser>
        <c:gapWidth val="150"/>
        <c:overlap val="0"/>
        <c:axId val="75806482"/>
        <c:axId val="42254624"/>
      </c:barChart>
      <c:catAx>
        <c:axId val="7580648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2254624"/>
        <c:crosses val="autoZero"/>
        <c:auto val="1"/>
        <c:lblAlgn val="ctr"/>
        <c:lblOffset val="100"/>
        <c:noMultiLvlLbl val="0"/>
      </c:catAx>
      <c:valAx>
        <c:axId val="4225462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580648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1</xdr:row>
      <xdr:rowOff>160560</xdr:rowOff>
    </xdr:from>
    <xdr:to>
      <xdr:col>14</xdr:col>
      <xdr:colOff>364680</xdr:colOff>
      <xdr:row>16</xdr:row>
      <xdr:rowOff>32040</xdr:rowOff>
    </xdr:to>
    <xdr:graphicFrame>
      <xdr:nvGraphicFramePr>
        <xdr:cNvPr id="0" name="Chart 1"/>
        <xdr:cNvGraphicFramePr/>
      </xdr:nvGraphicFramePr>
      <xdr:xfrm>
        <a:off x="5263560" y="38088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0</xdr:colOff>
      <xdr:row>18</xdr:row>
      <xdr:rowOff>10080</xdr:rowOff>
    </xdr:from>
    <xdr:to>
      <xdr:col>14</xdr:col>
      <xdr:colOff>364680</xdr:colOff>
      <xdr:row>32</xdr:row>
      <xdr:rowOff>72360</xdr:rowOff>
    </xdr:to>
    <xdr:graphicFrame>
      <xdr:nvGraphicFramePr>
        <xdr:cNvPr id="1" name="Chart 2"/>
        <xdr:cNvGraphicFramePr/>
      </xdr:nvGraphicFramePr>
      <xdr:xfrm>
        <a:off x="5263560" y="361944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/>
    </row>
    <row r="7" customFormat="false" ht="15" hidden="false" customHeight="false" outlineLevel="0" collapsed="false">
      <c r="A7" s="3" t="s">
        <v>4</v>
      </c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 t="s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50"/>
  </cols>
  <sheetData>
    <row r="1" customFormat="false" ht="17.35" hidden="false" customHeight="false" outlineLevel="0" collapsed="false">
      <c r="A1" s="1" t="s">
        <v>11</v>
      </c>
      <c r="B1" s="4"/>
      <c r="C1" s="4"/>
      <c r="D1" s="4"/>
    </row>
    <row r="2" customFormat="false" ht="15" hidden="false" customHeight="false" outlineLevel="0" collapsed="false">
      <c r="A2" s="4"/>
      <c r="B2" s="4"/>
      <c r="C2" s="4"/>
      <c r="D2" s="4"/>
    </row>
    <row r="3" customFormat="false" ht="26.85" hidden="false" customHeight="false" outlineLevel="0" collapsed="false">
      <c r="A3" s="5" t="s">
        <v>12</v>
      </c>
      <c r="B3" s="5" t="s">
        <v>13</v>
      </c>
      <c r="C3" s="5" t="s">
        <v>14</v>
      </c>
      <c r="D3" s="5"/>
    </row>
    <row r="4" customFormat="false" ht="15" hidden="false" customHeight="false" outlineLevel="0" collapsed="false">
      <c r="A4" s="2" t="s">
        <v>15</v>
      </c>
      <c r="B4" s="6" t="n">
        <v>6900</v>
      </c>
      <c r="C4" s="6" t="n">
        <v>52000</v>
      </c>
      <c r="D4" s="4"/>
    </row>
    <row r="5" customFormat="false" ht="15" hidden="false" customHeight="false" outlineLevel="0" collapsed="false">
      <c r="A5" s="2" t="s">
        <v>16</v>
      </c>
      <c r="B5" s="6" t="n">
        <v>6200</v>
      </c>
      <c r="C5" s="6" t="n">
        <v>49500</v>
      </c>
      <c r="D5" s="4"/>
    </row>
    <row r="6" customFormat="false" ht="15" hidden="false" customHeight="false" outlineLevel="0" collapsed="false">
      <c r="A6" s="2" t="s">
        <v>17</v>
      </c>
      <c r="B6" s="6" t="n">
        <v>5100</v>
      </c>
      <c r="C6" s="6" t="n">
        <v>53800</v>
      </c>
      <c r="D6" s="4"/>
    </row>
    <row r="7" customFormat="false" ht="15" hidden="false" customHeight="false" outlineLevel="0" collapsed="false">
      <c r="A7" s="2" t="s">
        <v>18</v>
      </c>
      <c r="B7" s="6" t="n">
        <v>3300</v>
      </c>
      <c r="C7" s="6" t="n">
        <v>52600</v>
      </c>
      <c r="D7" s="4"/>
    </row>
    <row r="8" customFormat="false" ht="15" hidden="false" customHeight="false" outlineLevel="0" collapsed="false">
      <c r="A8" s="2" t="s">
        <v>19</v>
      </c>
      <c r="B8" s="6" t="n">
        <v>1600</v>
      </c>
      <c r="C8" s="6" t="n">
        <v>55200</v>
      </c>
      <c r="D8" s="4"/>
    </row>
    <row r="9" customFormat="false" ht="15" hidden="false" customHeight="false" outlineLevel="0" collapsed="false">
      <c r="A9" s="2" t="s">
        <v>20</v>
      </c>
      <c r="B9" s="6" t="n">
        <v>700</v>
      </c>
      <c r="C9" s="6" t="n">
        <v>57900</v>
      </c>
      <c r="D9" s="4"/>
    </row>
    <row r="10" customFormat="false" ht="15" hidden="false" customHeight="false" outlineLevel="0" collapsed="false">
      <c r="A10" s="2" t="s">
        <v>21</v>
      </c>
      <c r="B10" s="6" t="n">
        <v>400</v>
      </c>
      <c r="C10" s="6" t="n">
        <v>60400</v>
      </c>
      <c r="D10" s="4"/>
    </row>
    <row r="11" customFormat="false" ht="15" hidden="false" customHeight="false" outlineLevel="0" collapsed="false">
      <c r="A11" s="2" t="s">
        <v>22</v>
      </c>
      <c r="B11" s="6" t="n">
        <v>400</v>
      </c>
      <c r="C11" s="6" t="n">
        <v>59800</v>
      </c>
      <c r="D11" s="4"/>
    </row>
    <row r="12" customFormat="false" ht="15" hidden="false" customHeight="false" outlineLevel="0" collapsed="false">
      <c r="A12" s="2" t="s">
        <v>23</v>
      </c>
      <c r="B12" s="6" t="n">
        <v>900</v>
      </c>
      <c r="C12" s="6" t="n">
        <v>54100</v>
      </c>
      <c r="D12" s="4"/>
    </row>
    <row r="13" customFormat="false" ht="15" hidden="false" customHeight="false" outlineLevel="0" collapsed="false">
      <c r="A13" s="2" t="s">
        <v>24</v>
      </c>
      <c r="B13" s="6" t="n">
        <v>2600</v>
      </c>
      <c r="C13" s="6" t="n">
        <v>52900</v>
      </c>
      <c r="D13" s="4"/>
    </row>
    <row r="14" customFormat="false" ht="15" hidden="false" customHeight="false" outlineLevel="0" collapsed="false">
      <c r="A14" s="2" t="s">
        <v>25</v>
      </c>
      <c r="B14" s="6" t="n">
        <v>4700</v>
      </c>
      <c r="C14" s="6" t="n">
        <v>50300</v>
      </c>
      <c r="D14" s="4"/>
    </row>
    <row r="15" customFormat="false" ht="15" hidden="false" customHeight="false" outlineLevel="0" collapsed="false">
      <c r="A15" s="2" t="s">
        <v>26</v>
      </c>
      <c r="B15" s="6" t="n">
        <v>6100</v>
      </c>
      <c r="C15" s="6" t="n">
        <v>51500</v>
      </c>
      <c r="D15" s="4"/>
    </row>
    <row r="16" customFormat="false" ht="15" hidden="false" customHeight="false" outlineLevel="0" collapsed="false">
      <c r="A16" s="3" t="s">
        <v>27</v>
      </c>
      <c r="B16" s="7" t="n">
        <f aca="false">SUM(B4:B15)</f>
        <v>38900</v>
      </c>
      <c r="C16" s="7" t="n">
        <f aca="false">SUM(C4:C15)</f>
        <v>650000</v>
      </c>
      <c r="D16" s="4"/>
    </row>
    <row r="17" customFormat="false" ht="15" hidden="false" customHeight="false" outlineLevel="0" collapsed="false">
      <c r="A17" s="4"/>
      <c r="B17" s="4"/>
      <c r="C17" s="4"/>
      <c r="D17" s="4"/>
    </row>
    <row r="18" customFormat="false" ht="15" hidden="false" customHeight="false" outlineLevel="0" collapsed="false">
      <c r="A18" s="5" t="s">
        <v>28</v>
      </c>
      <c r="B18" s="5" t="s">
        <v>29</v>
      </c>
      <c r="C18" s="5" t="s">
        <v>30</v>
      </c>
      <c r="D18" s="5" t="s">
        <v>31</v>
      </c>
    </row>
    <row r="19" customFormat="false" ht="15" hidden="false" customHeight="false" outlineLevel="0" collapsed="false">
      <c r="A19" s="2" t="s">
        <v>32</v>
      </c>
      <c r="B19" s="6" t="n">
        <v>9800</v>
      </c>
      <c r="C19" s="2" t="s">
        <v>33</v>
      </c>
      <c r="D19" s="2" t="s">
        <v>34</v>
      </c>
    </row>
    <row r="20" customFormat="false" ht="15" hidden="false" customHeight="false" outlineLevel="0" collapsed="false">
      <c r="A20" s="2" t="s">
        <v>35</v>
      </c>
      <c r="B20" s="6" t="n">
        <v>1000000</v>
      </c>
      <c r="C20" s="2" t="s">
        <v>36</v>
      </c>
      <c r="D20" s="2" t="s">
        <v>37</v>
      </c>
    </row>
    <row r="21" customFormat="false" ht="15" hidden="false" customHeight="false" outlineLevel="0" collapsed="false">
      <c r="A21" s="2" t="s">
        <v>38</v>
      </c>
      <c r="B21" s="8" t="n">
        <v>0.5</v>
      </c>
      <c r="C21" s="2" t="s">
        <v>39</v>
      </c>
      <c r="D21" s="2" t="s">
        <v>40</v>
      </c>
    </row>
    <row r="22" customFormat="false" ht="15" hidden="false" customHeight="false" outlineLevel="0" collapsed="false">
      <c r="A22" s="2" t="s">
        <v>41</v>
      </c>
      <c r="B22" s="8" t="n">
        <v>0.35</v>
      </c>
      <c r="C22" s="2" t="s">
        <v>39</v>
      </c>
      <c r="D22" s="2"/>
    </row>
    <row r="23" customFormat="false" ht="15" hidden="false" customHeight="false" outlineLevel="0" collapsed="false">
      <c r="A23" s="2" t="s">
        <v>42</v>
      </c>
      <c r="B23" s="8" t="n">
        <v>0.15</v>
      </c>
      <c r="C23" s="2" t="s">
        <v>39</v>
      </c>
      <c r="D23" s="2"/>
    </row>
    <row r="24" customFormat="false" ht="15" hidden="false" customHeight="false" outlineLevel="0" collapsed="false">
      <c r="A24" s="2" t="s">
        <v>43</v>
      </c>
      <c r="B24" s="8" t="n">
        <v>0.58</v>
      </c>
      <c r="C24" s="2" t="s">
        <v>39</v>
      </c>
      <c r="D24" s="2" t="s">
        <v>44</v>
      </c>
    </row>
    <row r="25" customFormat="false" ht="15" hidden="false" customHeight="false" outlineLevel="0" collapsed="false">
      <c r="A25" s="2" t="s">
        <v>45</v>
      </c>
      <c r="B25" s="8" t="n">
        <v>0.42</v>
      </c>
      <c r="C25" s="2" t="s">
        <v>39</v>
      </c>
      <c r="D25" s="2"/>
    </row>
    <row r="26" customFormat="false" ht="15" hidden="false" customHeight="false" outlineLevel="0" collapsed="false">
      <c r="A26" s="2" t="s">
        <v>46</v>
      </c>
      <c r="B26" s="6" t="n">
        <v>100000</v>
      </c>
      <c r="C26" s="2" t="s">
        <v>36</v>
      </c>
      <c r="D26" s="2" t="s">
        <v>47</v>
      </c>
    </row>
    <row r="27" customFormat="false" ht="15" hidden="false" customHeight="false" outlineLevel="0" collapsed="false">
      <c r="A27" s="2" t="s">
        <v>48</v>
      </c>
      <c r="B27" s="6" t="n">
        <v>17618</v>
      </c>
      <c r="C27" s="2" t="s">
        <v>49</v>
      </c>
      <c r="D27" s="2" t="s">
        <v>50</v>
      </c>
    </row>
    <row r="28" customFormat="false" ht="15" hidden="false" customHeight="false" outlineLevel="0" collapsed="false">
      <c r="A28" s="2" t="s">
        <v>51</v>
      </c>
      <c r="B28" s="6" t="n">
        <v>9464</v>
      </c>
      <c r="C28" s="2" t="s">
        <v>49</v>
      </c>
      <c r="D28" s="2"/>
    </row>
    <row r="29" customFormat="false" ht="15" hidden="false" customHeight="false" outlineLevel="0" collapsed="false">
      <c r="A29" s="2" t="s">
        <v>52</v>
      </c>
      <c r="B29" s="6" t="n">
        <v>2152</v>
      </c>
      <c r="C29" s="2" t="s">
        <v>49</v>
      </c>
      <c r="D29" s="2"/>
    </row>
    <row r="30" customFormat="false" ht="15" hidden="false" customHeight="false" outlineLevel="0" collapsed="false">
      <c r="A30" s="2" t="s">
        <v>53</v>
      </c>
      <c r="B30" s="6" t="n">
        <v>4000</v>
      </c>
      <c r="C30" s="2" t="s">
        <v>49</v>
      </c>
      <c r="D30" s="2"/>
    </row>
    <row r="31" customFormat="false" ht="15" hidden="false" customHeight="false" outlineLevel="0" collapsed="false">
      <c r="A31" s="2" t="s">
        <v>54</v>
      </c>
      <c r="B31" s="6" t="n">
        <v>35</v>
      </c>
      <c r="C31" s="2" t="s">
        <v>49</v>
      </c>
      <c r="D31" s="2" t="s">
        <v>55</v>
      </c>
    </row>
    <row r="32" customFormat="false" ht="15" hidden="false" customHeight="false" outlineLevel="0" collapsed="false">
      <c r="A32" s="2" t="s">
        <v>56</v>
      </c>
      <c r="B32" s="6" t="n">
        <v>450000</v>
      </c>
      <c r="C32" s="2" t="s">
        <v>36</v>
      </c>
      <c r="D32" s="2"/>
    </row>
    <row r="33" customFormat="false" ht="15" hidden="false" customHeight="false" outlineLevel="0" collapsed="false">
      <c r="A33" s="2" t="s">
        <v>57</v>
      </c>
      <c r="B33" s="6" t="n">
        <v>100000</v>
      </c>
      <c r="C33" s="2" t="s">
        <v>36</v>
      </c>
      <c r="D33" s="2"/>
    </row>
    <row r="34" customFormat="false" ht="15" hidden="false" customHeight="false" outlineLevel="0" collapsed="false">
      <c r="A34" s="2" t="s">
        <v>58</v>
      </c>
      <c r="B34" s="8" t="n">
        <v>0.7</v>
      </c>
      <c r="C34" s="2" t="s">
        <v>39</v>
      </c>
      <c r="D34" s="2" t="s">
        <v>59</v>
      </c>
    </row>
    <row r="35" customFormat="false" ht="15" hidden="false" customHeight="false" outlineLevel="0" collapsed="false">
      <c r="A35" s="2" t="s">
        <v>60</v>
      </c>
      <c r="B35" s="6" t="n">
        <v>1833</v>
      </c>
      <c r="C35" s="2" t="s">
        <v>49</v>
      </c>
      <c r="D35" s="2"/>
    </row>
    <row r="36" customFormat="false" ht="15" hidden="false" customHeight="false" outlineLevel="0" collapsed="false">
      <c r="A36" s="2" t="s">
        <v>61</v>
      </c>
      <c r="B36" s="8" t="n">
        <v>0.1</v>
      </c>
      <c r="C36" s="2" t="s">
        <v>39</v>
      </c>
      <c r="D36" s="2"/>
    </row>
    <row r="37" customFormat="false" ht="15" hidden="false" customHeight="false" outlineLevel="0" collapsed="false">
      <c r="A37" s="2" t="s">
        <v>62</v>
      </c>
      <c r="B37" s="6" t="n">
        <v>772</v>
      </c>
      <c r="C37" s="2" t="s">
        <v>49</v>
      </c>
      <c r="D37" s="2"/>
    </row>
    <row r="38" customFormat="false" ht="15" hidden="false" customHeight="false" outlineLevel="0" collapsed="false">
      <c r="A38" s="2" t="s">
        <v>63</v>
      </c>
      <c r="B38" s="8" t="n">
        <v>0.1</v>
      </c>
      <c r="C38" s="2" t="s">
        <v>39</v>
      </c>
      <c r="D38" s="2"/>
    </row>
    <row r="39" customFormat="false" ht="15" hidden="false" customHeight="false" outlineLevel="0" collapsed="false">
      <c r="A39" s="2" t="s">
        <v>64</v>
      </c>
      <c r="B39" s="6" t="n">
        <v>50</v>
      </c>
      <c r="C39" s="2" t="s">
        <v>49</v>
      </c>
      <c r="D39" s="2"/>
    </row>
    <row r="40" customFormat="false" ht="15" hidden="false" customHeight="false" outlineLevel="0" collapsed="false">
      <c r="A40" s="2" t="s">
        <v>65</v>
      </c>
      <c r="B40" s="8" t="n">
        <v>0.1</v>
      </c>
      <c r="C40" s="2" t="s">
        <v>39</v>
      </c>
      <c r="D40" s="2"/>
    </row>
    <row r="41" customFormat="false" ht="15" hidden="false" customHeight="false" outlineLevel="0" collapsed="false">
      <c r="A41" s="2" t="s">
        <v>66</v>
      </c>
      <c r="B41" s="6" t="n">
        <v>3400</v>
      </c>
      <c r="C41" s="2" t="s">
        <v>49</v>
      </c>
      <c r="D41" s="2"/>
    </row>
    <row r="42" customFormat="false" ht="15" hidden="false" customHeight="false" outlineLevel="0" collapsed="false">
      <c r="A42" s="2" t="s">
        <v>67</v>
      </c>
      <c r="B42" s="6" t="n">
        <v>35</v>
      </c>
      <c r="C42" s="2" t="s">
        <v>68</v>
      </c>
      <c r="D42" s="2"/>
    </row>
    <row r="43" customFormat="false" ht="15" hidden="false" customHeight="false" outlineLevel="0" collapsed="false">
      <c r="A43" s="2" t="s">
        <v>69</v>
      </c>
      <c r="B43" s="6" t="n">
        <v>240</v>
      </c>
      <c r="C43" s="2" t="s">
        <v>70</v>
      </c>
      <c r="D43" s="2"/>
    </row>
    <row r="44" customFormat="false" ht="15" hidden="false" customHeight="false" outlineLevel="0" collapsed="false">
      <c r="A44" s="2" t="s">
        <v>71</v>
      </c>
      <c r="B44" s="6" t="n">
        <v>30</v>
      </c>
      <c r="C44" s="2" t="s">
        <v>49</v>
      </c>
      <c r="D44" s="2" t="s">
        <v>72</v>
      </c>
    </row>
    <row r="45" customFormat="false" ht="15" hidden="false" customHeight="false" outlineLevel="0" collapsed="false">
      <c r="A45" s="2" t="s">
        <v>73</v>
      </c>
      <c r="B45" s="6" t="n">
        <v>7</v>
      </c>
      <c r="C45" s="2" t="s">
        <v>68</v>
      </c>
      <c r="D45" s="2" t="s">
        <v>74</v>
      </c>
    </row>
    <row r="46" customFormat="false" ht="15" hidden="false" customHeight="false" outlineLevel="0" collapsed="false">
      <c r="A46" s="2" t="s">
        <v>75</v>
      </c>
      <c r="B46" s="6" t="n">
        <v>6</v>
      </c>
      <c r="C46" s="2" t="s">
        <v>68</v>
      </c>
      <c r="D46" s="2" t="s">
        <v>76</v>
      </c>
    </row>
    <row r="47" customFormat="false" ht="15" hidden="false" customHeight="false" outlineLevel="0" collapsed="false">
      <c r="A47" s="2" t="s">
        <v>77</v>
      </c>
      <c r="B47" s="6" t="n">
        <v>22</v>
      </c>
      <c r="C47" s="2" t="s">
        <v>68</v>
      </c>
      <c r="D47" s="2"/>
    </row>
    <row r="48" customFormat="false" ht="15" hidden="false" customHeight="false" outlineLevel="0" collapsed="false">
      <c r="A48" s="2" t="s">
        <v>78</v>
      </c>
      <c r="B48" s="6" t="n">
        <v>40</v>
      </c>
      <c r="C48" s="2" t="s">
        <v>79</v>
      </c>
      <c r="D48" s="2" t="s">
        <v>80</v>
      </c>
    </row>
    <row r="49" customFormat="false" ht="15" hidden="false" customHeight="false" outlineLevel="0" collapsed="false">
      <c r="A49" s="2" t="s">
        <v>81</v>
      </c>
      <c r="B49" s="6" t="n">
        <v>1550</v>
      </c>
      <c r="C49" s="2" t="s">
        <v>49</v>
      </c>
      <c r="D49" s="2" t="s">
        <v>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0"/>
    <col collapsed="false" customWidth="true" hidden="false" outlineLevel="0" max="3" min="3" style="0" width="12"/>
    <col collapsed="false" customWidth="true" hidden="false" outlineLevel="0" max="4" min="4" style="0" width="80"/>
  </cols>
  <sheetData>
    <row r="1" customFormat="false" ht="17.35" hidden="false" customHeight="false" outlineLevel="0" collapsed="false">
      <c r="A1" s="1" t="s">
        <v>83</v>
      </c>
      <c r="B1" s="4"/>
      <c r="C1" s="4"/>
      <c r="D1" s="4"/>
    </row>
    <row r="2" customFormat="false" ht="15" hidden="false" customHeight="false" outlineLevel="0" collapsed="false">
      <c r="A2" s="4"/>
      <c r="B2" s="4"/>
      <c r="C2" s="4"/>
      <c r="D2" s="4"/>
    </row>
    <row r="3" customFormat="false" ht="15" hidden="false" customHeight="false" outlineLevel="0" collapsed="false">
      <c r="A3" s="5" t="s">
        <v>84</v>
      </c>
      <c r="B3" s="5" t="s">
        <v>85</v>
      </c>
      <c r="C3" s="5" t="s">
        <v>86</v>
      </c>
      <c r="D3" s="5" t="s">
        <v>87</v>
      </c>
    </row>
    <row r="4" customFormat="false" ht="15" hidden="false" customHeight="false" outlineLevel="0" collapsed="false">
      <c r="A4" s="2" t="s">
        <v>88</v>
      </c>
      <c r="B4" s="2" t="s">
        <v>89</v>
      </c>
      <c r="C4" s="2" t="s">
        <v>90</v>
      </c>
      <c r="D4" s="2" t="s">
        <v>91</v>
      </c>
    </row>
    <row r="5" customFormat="false" ht="15" hidden="false" customHeight="false" outlineLevel="0" collapsed="false">
      <c r="A5" s="2" t="s">
        <v>88</v>
      </c>
      <c r="B5" s="2" t="s">
        <v>92</v>
      </c>
      <c r="C5" s="2" t="s">
        <v>90</v>
      </c>
      <c r="D5" s="2" t="s">
        <v>93</v>
      </c>
    </row>
    <row r="6" customFormat="false" ht="15" hidden="false" customHeight="false" outlineLevel="0" collapsed="false">
      <c r="A6" s="2" t="s">
        <v>88</v>
      </c>
      <c r="B6" s="2" t="s">
        <v>94</v>
      </c>
      <c r="C6" s="2" t="s">
        <v>95</v>
      </c>
      <c r="D6" s="2" t="s">
        <v>96</v>
      </c>
    </row>
    <row r="7" customFormat="false" ht="15" hidden="false" customHeight="false" outlineLevel="0" collapsed="false">
      <c r="A7" s="2" t="s">
        <v>97</v>
      </c>
      <c r="B7" s="2" t="s">
        <v>98</v>
      </c>
      <c r="C7" s="2" t="s">
        <v>90</v>
      </c>
      <c r="D7" s="2" t="s">
        <v>99</v>
      </c>
    </row>
    <row r="8" customFormat="false" ht="15" hidden="false" customHeight="false" outlineLevel="0" collapsed="false">
      <c r="A8" s="2" t="s">
        <v>100</v>
      </c>
      <c r="B8" s="2" t="s">
        <v>101</v>
      </c>
      <c r="C8" s="2" t="s">
        <v>90</v>
      </c>
      <c r="D8" s="2" t="s">
        <v>102</v>
      </c>
    </row>
    <row r="9" customFormat="false" ht="15" hidden="false" customHeight="false" outlineLevel="0" collapsed="false">
      <c r="A9" s="2" t="s">
        <v>100</v>
      </c>
      <c r="B9" s="2" t="s">
        <v>103</v>
      </c>
      <c r="C9" s="2" t="s">
        <v>95</v>
      </c>
      <c r="D9" s="2" t="s">
        <v>104</v>
      </c>
    </row>
    <row r="10" customFormat="false" ht="15" hidden="false" customHeight="false" outlineLevel="0" collapsed="false">
      <c r="A10" s="2" t="s">
        <v>100</v>
      </c>
      <c r="B10" s="2" t="s">
        <v>105</v>
      </c>
      <c r="C10" s="2" t="s">
        <v>95</v>
      </c>
      <c r="D10" s="2" t="s">
        <v>106</v>
      </c>
    </row>
    <row r="11" customFormat="false" ht="15" hidden="false" customHeight="false" outlineLevel="0" collapsed="false">
      <c r="A11" s="2" t="s">
        <v>100</v>
      </c>
      <c r="B11" s="2" t="s">
        <v>107</v>
      </c>
      <c r="C11" s="2" t="s">
        <v>90</v>
      </c>
      <c r="D11" s="2" t="s">
        <v>108</v>
      </c>
    </row>
    <row r="12" customFormat="false" ht="15" hidden="false" customHeight="false" outlineLevel="0" collapsed="false">
      <c r="A12" s="2" t="s">
        <v>100</v>
      </c>
      <c r="B12" s="2" t="s">
        <v>109</v>
      </c>
      <c r="C12" s="2" t="s">
        <v>95</v>
      </c>
      <c r="D12" s="2" t="s">
        <v>110</v>
      </c>
    </row>
    <row r="13" customFormat="false" ht="15" hidden="false" customHeight="false" outlineLevel="0" collapsed="false">
      <c r="A13" s="2" t="s">
        <v>100</v>
      </c>
      <c r="B13" s="2" t="s">
        <v>111</v>
      </c>
      <c r="C13" s="2" t="s">
        <v>90</v>
      </c>
      <c r="D13" s="2" t="s">
        <v>112</v>
      </c>
    </row>
    <row r="14" customFormat="false" ht="15" hidden="false" customHeight="false" outlineLevel="0" collapsed="false">
      <c r="A14" s="2" t="s">
        <v>100</v>
      </c>
      <c r="B14" s="2" t="s">
        <v>113</v>
      </c>
      <c r="C14" s="2" t="s">
        <v>90</v>
      </c>
      <c r="D14" s="2" t="s">
        <v>114</v>
      </c>
    </row>
    <row r="15" customFormat="false" ht="15" hidden="false" customHeight="false" outlineLevel="0" collapsed="false">
      <c r="A15" s="2" t="s">
        <v>100</v>
      </c>
      <c r="B15" s="2" t="s">
        <v>115</v>
      </c>
      <c r="C15" s="2" t="s">
        <v>95</v>
      </c>
      <c r="D15" s="2" t="s">
        <v>116</v>
      </c>
    </row>
    <row r="16" customFormat="false" ht="15" hidden="false" customHeight="false" outlineLevel="0" collapsed="false">
      <c r="A16" s="2" t="s">
        <v>100</v>
      </c>
      <c r="B16" s="2" t="s">
        <v>117</v>
      </c>
      <c r="C16" s="2" t="s">
        <v>90</v>
      </c>
      <c r="D16" s="2" t="s">
        <v>118</v>
      </c>
    </row>
    <row r="17" customFormat="false" ht="15" hidden="false" customHeight="false" outlineLevel="0" collapsed="false">
      <c r="A17" s="2" t="s">
        <v>100</v>
      </c>
      <c r="B17" s="2" t="s">
        <v>119</v>
      </c>
      <c r="C17" s="2" t="s">
        <v>95</v>
      </c>
      <c r="D17" s="2" t="s">
        <v>120</v>
      </c>
    </row>
    <row r="18" customFormat="false" ht="15" hidden="false" customHeight="false" outlineLevel="0" collapsed="false">
      <c r="A18" s="2" t="s">
        <v>100</v>
      </c>
      <c r="B18" s="2" t="s">
        <v>121</v>
      </c>
      <c r="C18" s="2" t="s">
        <v>95</v>
      </c>
      <c r="D18" s="2" t="s">
        <v>122</v>
      </c>
    </row>
    <row r="19" customFormat="false" ht="15" hidden="false" customHeight="false" outlineLevel="0" collapsed="false">
      <c r="A19" s="2" t="s">
        <v>100</v>
      </c>
      <c r="B19" s="2" t="s">
        <v>123</v>
      </c>
      <c r="C19" s="2" t="s">
        <v>95</v>
      </c>
      <c r="D19" s="2" t="s">
        <v>124</v>
      </c>
    </row>
    <row r="20" customFormat="false" ht="15" hidden="false" customHeight="false" outlineLevel="0" collapsed="false">
      <c r="A20" s="2" t="s">
        <v>100</v>
      </c>
      <c r="B20" s="2" t="s">
        <v>125</v>
      </c>
      <c r="C20" s="2" t="s">
        <v>95</v>
      </c>
      <c r="D20" s="2" t="s">
        <v>126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4"/>
    <col collapsed="false" customWidth="true" hidden="false" outlineLevel="0" max="3" min="3" style="0" width="26"/>
    <col collapsed="false" customWidth="true" hidden="false" outlineLevel="0" max="4" min="4" style="0" width="70"/>
  </cols>
  <sheetData>
    <row r="1" customFormat="false" ht="17.35" hidden="false" customHeight="false" outlineLevel="0" collapsed="false">
      <c r="A1" s="1" t="s">
        <v>127</v>
      </c>
      <c r="B1" s="4"/>
      <c r="C1" s="4"/>
      <c r="D1" s="4"/>
    </row>
    <row r="2" customFormat="false" ht="15" hidden="false" customHeight="false" outlineLevel="0" collapsed="false">
      <c r="A2" s="4"/>
      <c r="B2" s="4"/>
      <c r="C2" s="4"/>
      <c r="D2" s="4"/>
    </row>
    <row r="3" customFormat="false" ht="15" hidden="false" customHeight="false" outlineLevel="0" collapsed="false">
      <c r="A3" s="5" t="s">
        <v>128</v>
      </c>
      <c r="B3" s="5" t="s">
        <v>29</v>
      </c>
      <c r="C3" s="5" t="s">
        <v>30</v>
      </c>
      <c r="D3" s="5" t="s">
        <v>129</v>
      </c>
    </row>
    <row r="4" customFormat="false" ht="15" hidden="false" customHeight="false" outlineLevel="0" collapsed="false">
      <c r="A4" s="2" t="s">
        <v>130</v>
      </c>
      <c r="B4" s="9" t="n">
        <v>0.001921</v>
      </c>
      <c r="C4" s="2" t="s">
        <v>131</v>
      </c>
      <c r="D4" s="2" t="s">
        <v>132</v>
      </c>
    </row>
    <row r="5" customFormat="false" ht="15" hidden="false" customHeight="false" outlineLevel="0" collapsed="false">
      <c r="A5" s="2" t="s">
        <v>133</v>
      </c>
      <c r="B5" s="9" t="n">
        <v>3E-005</v>
      </c>
      <c r="C5" s="2" t="s">
        <v>134</v>
      </c>
      <c r="D5" s="2" t="s">
        <v>132</v>
      </c>
    </row>
    <row r="6" customFormat="false" ht="15" hidden="false" customHeight="false" outlineLevel="0" collapsed="false">
      <c r="A6" s="2" t="s">
        <v>135</v>
      </c>
      <c r="B6" s="9" t="n">
        <v>0.00027</v>
      </c>
      <c r="C6" s="2" t="s">
        <v>136</v>
      </c>
      <c r="D6" s="2" t="s">
        <v>137</v>
      </c>
    </row>
    <row r="7" customFormat="false" ht="15" hidden="false" customHeight="false" outlineLevel="0" collapsed="false">
      <c r="A7" s="2" t="s">
        <v>138</v>
      </c>
      <c r="B7" s="9" t="n">
        <v>3.7</v>
      </c>
      <c r="C7" s="2" t="s">
        <v>139</v>
      </c>
      <c r="D7" s="2" t="s">
        <v>140</v>
      </c>
    </row>
    <row r="8" customFormat="false" ht="15" hidden="false" customHeight="false" outlineLevel="0" collapsed="false">
      <c r="A8" s="2" t="s">
        <v>141</v>
      </c>
      <c r="B8" s="9" t="n">
        <v>3.53</v>
      </c>
      <c r="C8" s="2" t="s">
        <v>139</v>
      </c>
      <c r="D8" s="2" t="s">
        <v>140</v>
      </c>
    </row>
    <row r="9" customFormat="false" ht="15" hidden="false" customHeight="false" outlineLevel="0" collapsed="false">
      <c r="A9" s="2" t="s">
        <v>142</v>
      </c>
      <c r="B9" s="9" t="n">
        <v>3.43</v>
      </c>
      <c r="C9" s="2" t="s">
        <v>139</v>
      </c>
      <c r="D9" s="2" t="s">
        <v>140</v>
      </c>
    </row>
    <row r="10" customFormat="false" ht="15" hidden="false" customHeight="false" outlineLevel="0" collapsed="false">
      <c r="A10" s="2" t="s">
        <v>143</v>
      </c>
      <c r="B10" s="9" t="n">
        <v>6.8</v>
      </c>
      <c r="C10" s="2" t="s">
        <v>139</v>
      </c>
      <c r="D10" s="2" t="s">
        <v>140</v>
      </c>
    </row>
    <row r="11" customFormat="false" ht="15" hidden="false" customHeight="false" outlineLevel="0" collapsed="false">
      <c r="A11" s="2" t="s">
        <v>144</v>
      </c>
      <c r="B11" s="9" t="n">
        <v>25.7</v>
      </c>
      <c r="C11" s="2" t="s">
        <v>139</v>
      </c>
      <c r="D11" s="2" t="s">
        <v>140</v>
      </c>
    </row>
    <row r="12" customFormat="false" ht="15" hidden="false" customHeight="false" outlineLevel="0" collapsed="false">
      <c r="A12" s="2" t="s">
        <v>145</v>
      </c>
      <c r="B12" s="9" t="n">
        <v>0.00826</v>
      </c>
      <c r="C12" s="2" t="s">
        <v>146</v>
      </c>
      <c r="D12" s="2" t="s">
        <v>147</v>
      </c>
    </row>
    <row r="13" customFormat="false" ht="15" hidden="false" customHeight="false" outlineLevel="0" collapsed="false">
      <c r="A13" s="2" t="s">
        <v>148</v>
      </c>
      <c r="B13" s="9" t="n">
        <v>0.01194</v>
      </c>
      <c r="C13" s="2" t="s">
        <v>146</v>
      </c>
      <c r="D13" s="2" t="s">
        <v>149</v>
      </c>
    </row>
    <row r="14" customFormat="false" ht="15" hidden="false" customHeight="false" outlineLevel="0" collapsed="false">
      <c r="A14" s="2" t="s">
        <v>150</v>
      </c>
      <c r="B14" s="9" t="n">
        <v>0.07392</v>
      </c>
      <c r="C14" s="2" t="s">
        <v>146</v>
      </c>
      <c r="D14" s="2" t="s">
        <v>147</v>
      </c>
    </row>
    <row r="15" customFormat="false" ht="15" hidden="false" customHeight="false" outlineLevel="0" collapsed="false">
      <c r="A15" s="2" t="s">
        <v>151</v>
      </c>
      <c r="B15" s="9" t="n">
        <v>0.16391</v>
      </c>
      <c r="C15" s="2" t="s">
        <v>152</v>
      </c>
      <c r="D15" s="2" t="s">
        <v>153</v>
      </c>
    </row>
    <row r="16" customFormat="false" ht="15" hidden="false" customHeight="false" outlineLevel="0" collapsed="false">
      <c r="A16" s="2" t="s">
        <v>154</v>
      </c>
      <c r="B16" s="9" t="n">
        <v>0.043496</v>
      </c>
      <c r="C16" s="2" t="s">
        <v>155</v>
      </c>
      <c r="D16" s="2" t="s">
        <v>156</v>
      </c>
    </row>
    <row r="17" customFormat="false" ht="15" hidden="false" customHeight="false" outlineLevel="0" collapsed="false">
      <c r="A17" s="2" t="s">
        <v>157</v>
      </c>
      <c r="B17" s="9" t="n">
        <v>0.0812</v>
      </c>
      <c r="C17" s="2" t="s">
        <v>155</v>
      </c>
      <c r="D17" s="2" t="s">
        <v>156</v>
      </c>
    </row>
    <row r="18" customFormat="false" ht="15" hidden="false" customHeight="false" outlineLevel="0" collapsed="false">
      <c r="A18" s="4"/>
      <c r="B18" s="4"/>
      <c r="C18" s="4"/>
      <c r="D18" s="4"/>
    </row>
    <row r="19" customFormat="false" ht="15" hidden="false" customHeight="false" outlineLevel="0" collapsed="false">
      <c r="A19" s="4"/>
      <c r="B19" s="4"/>
      <c r="C19" s="4"/>
      <c r="D19" s="4"/>
    </row>
    <row r="20" customFormat="false" ht="15" hidden="false" customHeight="false" outlineLevel="0" collapsed="false">
      <c r="A20" s="3" t="s">
        <v>158</v>
      </c>
      <c r="B20" s="4"/>
      <c r="C20" s="4"/>
      <c r="D20" s="4"/>
    </row>
    <row r="21" customFormat="false" ht="15" hidden="false" customHeight="false" outlineLevel="0" collapsed="false">
      <c r="A21" s="2" t="s">
        <v>159</v>
      </c>
      <c r="B21" s="4"/>
      <c r="C21" s="4"/>
      <c r="D21" s="4"/>
    </row>
    <row r="22" customFormat="false" ht="15" hidden="false" customHeight="false" outlineLevel="0" collapsed="false">
      <c r="A22" s="2" t="s">
        <v>160</v>
      </c>
      <c r="B22" s="4"/>
      <c r="C22" s="4"/>
      <c r="D22" s="4"/>
    </row>
    <row r="23" customFormat="false" ht="15" hidden="false" customHeight="false" outlineLevel="0" collapsed="false">
      <c r="A23" s="2" t="s">
        <v>161</v>
      </c>
      <c r="B23" s="4"/>
      <c r="C23" s="4"/>
      <c r="D23" s="4"/>
    </row>
    <row r="24" customFormat="false" ht="15" hidden="false" customHeight="false" outlineLevel="0" collapsed="false">
      <c r="A24" s="2" t="s">
        <v>162</v>
      </c>
      <c r="B24" s="4"/>
      <c r="C24" s="4"/>
      <c r="D24" s="4"/>
    </row>
    <row r="25" customFormat="false" ht="15" hidden="false" customHeight="false" outlineLevel="0" collapsed="false">
      <c r="A25" s="2" t="s">
        <v>163</v>
      </c>
      <c r="B25" s="4"/>
      <c r="C25" s="4"/>
      <c r="D25" s="4"/>
    </row>
    <row r="26" customFormat="false" ht="15" hidden="false" customHeight="false" outlineLevel="0" collapsed="false">
      <c r="A26" s="2" t="s">
        <v>164</v>
      </c>
      <c r="B26" s="4"/>
      <c r="C26" s="4"/>
      <c r="D26" s="4"/>
    </row>
    <row r="27" customFormat="false" ht="15" hidden="false" customHeight="false" outlineLevel="0" collapsed="false">
      <c r="A27" s="2" t="s">
        <v>165</v>
      </c>
      <c r="B27" s="4"/>
      <c r="C27" s="4"/>
      <c r="D27" s="4"/>
    </row>
    <row r="28" customFormat="false" ht="15" hidden="false" customHeight="false" outlineLevel="0" collapsed="false">
      <c r="A28" s="2" t="s">
        <v>166</v>
      </c>
      <c r="B28" s="4"/>
      <c r="C28" s="4"/>
      <c r="D28" s="4"/>
    </row>
    <row r="29" customFormat="false" ht="15" hidden="false" customHeight="false" outlineLevel="0" collapsed="false">
      <c r="A29" s="4"/>
      <c r="B29" s="4"/>
      <c r="C29" s="4"/>
      <c r="D29" s="4"/>
    </row>
    <row r="30" customFormat="false" ht="15" hidden="false" customHeight="false" outlineLevel="0" collapsed="false">
      <c r="A30" s="10" t="s">
        <v>167</v>
      </c>
      <c r="B30" s="4"/>
      <c r="C30" s="4"/>
      <c r="D30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0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5" min="5" style="0" width="30"/>
    <col collapsed="false" customWidth="true" hidden="false" outlineLevel="0" max="7" min="6" style="0" width="16"/>
  </cols>
  <sheetData>
    <row r="1" customFormat="false" ht="17.35" hidden="false" customHeight="false" outlineLevel="0" collapsed="false">
      <c r="A1" s="1" t="s">
        <v>168</v>
      </c>
      <c r="B1" s="4"/>
      <c r="C1" s="4"/>
      <c r="D1" s="4"/>
      <c r="E1" s="4"/>
      <c r="F1" s="4"/>
      <c r="G1" s="4"/>
    </row>
    <row r="2" customFormat="false" ht="15" hidden="false" customHeight="false" outlineLevel="0" collapsed="false">
      <c r="A2" s="4"/>
      <c r="B2" s="4"/>
      <c r="C2" s="4"/>
      <c r="D2" s="4"/>
      <c r="E2" s="4"/>
      <c r="F2" s="4"/>
      <c r="G2" s="4"/>
    </row>
    <row r="3" customFormat="false" ht="15" hidden="false" customHeight="false" outlineLevel="0" collapsed="false">
      <c r="A3" s="5" t="s">
        <v>84</v>
      </c>
      <c r="B3" s="5" t="s">
        <v>129</v>
      </c>
      <c r="C3" s="5" t="s">
        <v>169</v>
      </c>
      <c r="D3" s="5" t="s">
        <v>30</v>
      </c>
      <c r="E3" s="5" t="s">
        <v>128</v>
      </c>
      <c r="F3" s="5" t="s">
        <v>170</v>
      </c>
      <c r="G3" s="5" t="s">
        <v>171</v>
      </c>
    </row>
    <row r="4" customFormat="false" ht="15" hidden="false" customHeight="false" outlineLevel="0" collapsed="false">
      <c r="A4" s="2" t="s">
        <v>88</v>
      </c>
      <c r="B4" s="2" t="s">
        <v>172</v>
      </c>
      <c r="C4" s="11" t="n">
        <f aca="false">Inputs!B16</f>
        <v>38900</v>
      </c>
      <c r="D4" s="2" t="s">
        <v>173</v>
      </c>
      <c r="E4" s="2" t="s">
        <v>130</v>
      </c>
      <c r="F4" s="12" t="n">
        <f aca="false">'Factors &amp; Sources'!$B$4</f>
        <v>0.001921</v>
      </c>
      <c r="G4" s="13" t="n">
        <f aca="false">C4*F4</f>
        <v>74.7269</v>
      </c>
    </row>
    <row r="5" customFormat="false" ht="15" hidden="false" customHeight="false" outlineLevel="0" collapsed="false">
      <c r="A5" s="2" t="s">
        <v>88</v>
      </c>
      <c r="B5" s="2" t="s">
        <v>174</v>
      </c>
      <c r="C5" s="11" t="n">
        <f aca="false">Inputs!$B$19</f>
        <v>9800</v>
      </c>
      <c r="D5" s="2" t="s">
        <v>33</v>
      </c>
      <c r="E5" s="2" t="s">
        <v>135</v>
      </c>
      <c r="F5" s="12" t="n">
        <f aca="false">'Factors &amp; Sources'!$B$6</f>
        <v>0.00027</v>
      </c>
      <c r="G5" s="13" t="n">
        <f aca="false">C5*F5</f>
        <v>2.646</v>
      </c>
    </row>
    <row r="6" customFormat="false" ht="15" hidden="false" customHeight="false" outlineLevel="0" collapsed="false">
      <c r="A6" s="2" t="s">
        <v>97</v>
      </c>
      <c r="B6" s="2" t="s">
        <v>98</v>
      </c>
      <c r="C6" s="11" t="n">
        <f aca="false">Inputs!C16</f>
        <v>650000</v>
      </c>
      <c r="D6" s="2" t="s">
        <v>175</v>
      </c>
      <c r="E6" s="2" t="s">
        <v>133</v>
      </c>
      <c r="F6" s="12" t="n">
        <f aca="false">'Factors &amp; Sources'!$B$5</f>
        <v>3E-005</v>
      </c>
      <c r="G6" s="13" t="n">
        <f aca="false">C6*F6</f>
        <v>19.5</v>
      </c>
    </row>
    <row r="7" customFormat="false" ht="15" hidden="false" customHeight="false" outlineLevel="0" collapsed="false">
      <c r="A7" s="2" t="s">
        <v>100</v>
      </c>
      <c r="B7" s="2" t="s">
        <v>176</v>
      </c>
      <c r="C7" s="11" t="n">
        <f aca="false">Inputs!$B$20*Inputs!$B$21*Inputs!$B$24/1000</f>
        <v>290</v>
      </c>
      <c r="D7" s="2" t="s">
        <v>177</v>
      </c>
      <c r="E7" s="2" t="s">
        <v>138</v>
      </c>
      <c r="F7" s="12" t="n">
        <f aca="false">'Factors &amp; Sources'!$B$7</f>
        <v>3.7</v>
      </c>
      <c r="G7" s="13" t="n">
        <f aca="false">C7*F7</f>
        <v>1073</v>
      </c>
    </row>
    <row r="8" customFormat="false" ht="15" hidden="false" customHeight="false" outlineLevel="0" collapsed="false">
      <c r="A8" s="2" t="s">
        <v>100</v>
      </c>
      <c r="B8" s="2" t="s">
        <v>178</v>
      </c>
      <c r="C8" s="11" t="n">
        <f aca="false">Inputs!$B$20*Inputs!$B$22*Inputs!$B$24/1000</f>
        <v>203</v>
      </c>
      <c r="D8" s="2" t="s">
        <v>177</v>
      </c>
      <c r="E8" s="2" t="s">
        <v>141</v>
      </c>
      <c r="F8" s="12" t="n">
        <f aca="false">'Factors &amp; Sources'!$B$8</f>
        <v>3.53</v>
      </c>
      <c r="G8" s="13" t="n">
        <f aca="false">C8*F8</f>
        <v>716.59</v>
      </c>
    </row>
    <row r="9" customFormat="false" ht="15" hidden="false" customHeight="false" outlineLevel="0" collapsed="false">
      <c r="A9" s="2" t="s">
        <v>100</v>
      </c>
      <c r="B9" s="2" t="s">
        <v>179</v>
      </c>
      <c r="C9" s="11" t="n">
        <f aca="false">Inputs!$B$20*Inputs!$B$23*Inputs!$B$24/1000</f>
        <v>87</v>
      </c>
      <c r="D9" s="2" t="s">
        <v>177</v>
      </c>
      <c r="E9" s="2" t="s">
        <v>142</v>
      </c>
      <c r="F9" s="12" t="n">
        <f aca="false">'Factors &amp; Sources'!$B$9</f>
        <v>3.43</v>
      </c>
      <c r="G9" s="13" t="n">
        <f aca="false">C9*F9</f>
        <v>298.41</v>
      </c>
    </row>
    <row r="10" customFormat="false" ht="15" hidden="false" customHeight="false" outlineLevel="0" collapsed="false">
      <c r="A10" s="2" t="s">
        <v>100</v>
      </c>
      <c r="B10" s="2" t="s">
        <v>180</v>
      </c>
      <c r="C10" s="11" t="n">
        <f aca="false">Inputs!$B$20*Inputs!$B$21*Inputs!$B$25/1000</f>
        <v>210</v>
      </c>
      <c r="D10" s="2" t="s">
        <v>177</v>
      </c>
      <c r="E10" s="2" t="s">
        <v>143</v>
      </c>
      <c r="F10" s="12" t="n">
        <f aca="false">'Factors &amp; Sources'!$B$10</f>
        <v>6.8</v>
      </c>
      <c r="G10" s="13" t="n">
        <f aca="false">C10*F10</f>
        <v>1428</v>
      </c>
    </row>
    <row r="11" customFormat="false" ht="15" hidden="false" customHeight="false" outlineLevel="0" collapsed="false">
      <c r="A11" s="2" t="s">
        <v>100</v>
      </c>
      <c r="B11" s="2" t="s">
        <v>181</v>
      </c>
      <c r="C11" s="11" t="n">
        <f aca="false">Inputs!$B$20*Inputs!$B$22*Inputs!$B$25/1000</f>
        <v>147</v>
      </c>
      <c r="D11" s="2" t="s">
        <v>177</v>
      </c>
      <c r="E11" s="2" t="s">
        <v>143</v>
      </c>
      <c r="F11" s="12" t="n">
        <f aca="false">'Factors &amp; Sources'!$B$10</f>
        <v>6.8</v>
      </c>
      <c r="G11" s="13" t="n">
        <f aca="false">C11*F11</f>
        <v>999.6</v>
      </c>
    </row>
    <row r="12" customFormat="false" ht="15" hidden="false" customHeight="false" outlineLevel="0" collapsed="false">
      <c r="A12" s="2" t="s">
        <v>100</v>
      </c>
      <c r="B12" s="2" t="s">
        <v>182</v>
      </c>
      <c r="C12" s="11" t="n">
        <f aca="false">Inputs!$B$20*Inputs!$B$23*Inputs!$B$25/1000</f>
        <v>63</v>
      </c>
      <c r="D12" s="2" t="s">
        <v>177</v>
      </c>
      <c r="E12" s="2" t="s">
        <v>143</v>
      </c>
      <c r="F12" s="12" t="n">
        <f aca="false">'Factors &amp; Sources'!$B$10</f>
        <v>6.8</v>
      </c>
      <c r="G12" s="13" t="n">
        <f aca="false">C12*F12</f>
        <v>428.4</v>
      </c>
    </row>
    <row r="13" customFormat="false" ht="15" hidden="false" customHeight="false" outlineLevel="0" collapsed="false">
      <c r="A13" s="2" t="s">
        <v>100</v>
      </c>
      <c r="B13" s="2" t="s">
        <v>183</v>
      </c>
      <c r="C13" s="11" t="n">
        <f aca="false">Inputs!$B$26/1000</f>
        <v>100</v>
      </c>
      <c r="D13" s="2" t="s">
        <v>177</v>
      </c>
      <c r="E13" s="2" t="s">
        <v>144</v>
      </c>
      <c r="F13" s="12" t="n">
        <f aca="false">'Factors &amp; Sources'!$B$11</f>
        <v>25.7</v>
      </c>
      <c r="G13" s="13" t="n">
        <f aca="false">C13*F13</f>
        <v>2570</v>
      </c>
    </row>
    <row r="14" customFormat="false" ht="15" hidden="false" customHeight="false" outlineLevel="0" collapsed="false">
      <c r="A14" s="2" t="s">
        <v>100</v>
      </c>
      <c r="B14" s="2" t="s">
        <v>184</v>
      </c>
      <c r="C14" s="11" t="n">
        <f aca="false">(Inputs!$B$20*Inputs!$B$21*Inputs!$B$27+Inputs!$B$20*Inputs!$B$22*Inputs!$B$28+Inputs!$B$20*Inputs!$B$23*Inputs!$B$29+Inputs!$B$26*Inputs!$B$28)/1000</f>
        <v>13390600</v>
      </c>
      <c r="D14" s="2" t="s">
        <v>185</v>
      </c>
      <c r="E14" s="2" t="s">
        <v>145</v>
      </c>
      <c r="F14" s="12" t="n">
        <f aca="false">'Factors &amp; Sources'!$B$12</f>
        <v>0.00826</v>
      </c>
      <c r="G14" s="13" t="n">
        <f aca="false">C14*F14/1000</f>
        <v>110.606356</v>
      </c>
    </row>
    <row r="15" customFormat="false" ht="15" hidden="false" customHeight="false" outlineLevel="0" collapsed="false">
      <c r="A15" s="2" t="s">
        <v>100</v>
      </c>
      <c r="B15" s="2" t="s">
        <v>186</v>
      </c>
      <c r="C15" s="11" t="n">
        <f aca="false">(Inputs!$B$20+Inputs!$B$26)/1000*Inputs!$B$30</f>
        <v>4400000</v>
      </c>
      <c r="D15" s="2" t="s">
        <v>185</v>
      </c>
      <c r="E15" s="2" t="s">
        <v>148</v>
      </c>
      <c r="F15" s="12" t="n">
        <f aca="false">'Factors &amp; Sources'!$B$13</f>
        <v>0.01194</v>
      </c>
      <c r="G15" s="13" t="n">
        <f aca="false">C15*F15/1000</f>
        <v>52.536</v>
      </c>
    </row>
    <row r="16" customFormat="false" ht="15" hidden="false" customHeight="false" outlineLevel="0" collapsed="false">
      <c r="A16" s="2" t="s">
        <v>100</v>
      </c>
      <c r="B16" s="2" t="s">
        <v>187</v>
      </c>
      <c r="C16" s="11" t="n">
        <f aca="false">(Inputs!$B$20+Inputs!$B$26)/1000*Inputs!$B$31</f>
        <v>38500</v>
      </c>
      <c r="D16" s="2" t="s">
        <v>185</v>
      </c>
      <c r="E16" s="2" t="s">
        <v>150</v>
      </c>
      <c r="F16" s="12" t="n">
        <f aca="false">'Factors &amp; Sources'!$B$14</f>
        <v>0.07392</v>
      </c>
      <c r="G16" s="13" t="n">
        <f aca="false">C16*F16/1000</f>
        <v>2.84592</v>
      </c>
    </row>
    <row r="17" customFormat="false" ht="15" hidden="false" customHeight="false" outlineLevel="0" collapsed="false">
      <c r="A17" s="2" t="s">
        <v>100</v>
      </c>
      <c r="B17" s="2" t="s">
        <v>188</v>
      </c>
      <c r="C17" s="11" t="n">
        <f aca="false">(Inputs!$B$32+Inputs!$B$33)/1000*(Inputs!$B$34*Inputs!$B$35+Inputs!$B$36*Inputs!$B$37+Inputs!$B$38*Inputs!$B$39+Inputs!$B$40*Inputs!$B$41)</f>
        <v>937915</v>
      </c>
      <c r="D17" s="2" t="s">
        <v>185</v>
      </c>
      <c r="E17" s="2" t="s">
        <v>150</v>
      </c>
      <c r="F17" s="12" t="n">
        <f aca="false">'Factors &amp; Sources'!$B$14</f>
        <v>0.07392</v>
      </c>
      <c r="G17" s="13" t="n">
        <f aca="false">C17*F17/1000</f>
        <v>69.3306768</v>
      </c>
    </row>
    <row r="18" customFormat="false" ht="15" hidden="false" customHeight="false" outlineLevel="0" collapsed="false">
      <c r="A18" s="2" t="s">
        <v>100</v>
      </c>
      <c r="B18" s="2" t="s">
        <v>189</v>
      </c>
      <c r="C18" s="11" t="n">
        <f aca="false">Inputs!$B$45*Inputs!$B$44*Inputs!$B$43</f>
        <v>50400</v>
      </c>
      <c r="D18" s="2" t="s">
        <v>190</v>
      </c>
      <c r="E18" s="2" t="s">
        <v>151</v>
      </c>
      <c r="F18" s="12" t="n">
        <f aca="false">'Factors &amp; Sources'!$B$15</f>
        <v>0.16391</v>
      </c>
      <c r="G18" s="13" t="n">
        <f aca="false">C18*F18/1000</f>
        <v>8.261064</v>
      </c>
    </row>
    <row r="19" customFormat="false" ht="15" hidden="false" customHeight="false" outlineLevel="0" collapsed="false">
      <c r="A19" s="2" t="s">
        <v>100</v>
      </c>
      <c r="B19" s="2" t="s">
        <v>191</v>
      </c>
      <c r="C19" s="11" t="n">
        <f aca="false">Inputs!$B$46/2*Inputs!$B$44*Inputs!$B$43</f>
        <v>21600</v>
      </c>
      <c r="D19" s="2" t="s">
        <v>190</v>
      </c>
      <c r="E19" s="2" t="s">
        <v>151</v>
      </c>
      <c r="F19" s="12" t="n">
        <f aca="false">'Factors &amp; Sources'!$B$15</f>
        <v>0.16391</v>
      </c>
      <c r="G19" s="13" t="n">
        <f aca="false">C19*F19/1000</f>
        <v>3.540456</v>
      </c>
    </row>
    <row r="20" customFormat="false" ht="15" hidden="false" customHeight="false" outlineLevel="0" collapsed="false">
      <c r="A20" s="2" t="s">
        <v>100</v>
      </c>
      <c r="B20" s="2" t="s">
        <v>192</v>
      </c>
      <c r="C20" s="11" t="n">
        <f aca="false">Inputs!$B$47*Inputs!$B$44*Inputs!$B$43</f>
        <v>158400</v>
      </c>
      <c r="D20" s="2" t="s">
        <v>193</v>
      </c>
      <c r="E20" s="2" t="s">
        <v>154</v>
      </c>
      <c r="F20" s="12" t="n">
        <f aca="false">'Factors &amp; Sources'!$B$16</f>
        <v>0.043496</v>
      </c>
      <c r="G20" s="13" t="n">
        <f aca="false">C20*F20/1000</f>
        <v>6.8897664</v>
      </c>
    </row>
    <row r="21" customFormat="false" ht="15" hidden="false" customHeight="false" outlineLevel="0" collapsed="false">
      <c r="A21" s="2" t="s">
        <v>100</v>
      </c>
      <c r="B21" s="2" t="s">
        <v>194</v>
      </c>
      <c r="C21" s="11" t="n">
        <f aca="false">Inputs!$B$48*Inputs!$B$49</f>
        <v>62000</v>
      </c>
      <c r="D21" s="2" t="s">
        <v>193</v>
      </c>
      <c r="E21" s="2" t="s">
        <v>157</v>
      </c>
      <c r="F21" s="12" t="n">
        <f aca="false">'Factors &amp; Sources'!$B$17</f>
        <v>0.0812</v>
      </c>
      <c r="G21" s="13" t="n">
        <f aca="false">C21*F21/1000</f>
        <v>5.0344</v>
      </c>
    </row>
    <row r="22" customFormat="false" ht="15" hidden="false" customHeight="false" outlineLevel="0" collapsed="false">
      <c r="A22" s="4"/>
      <c r="B22" s="4"/>
      <c r="C22" s="4"/>
      <c r="D22" s="4"/>
      <c r="E22" s="4"/>
      <c r="F22" s="4"/>
      <c r="G22" s="4"/>
    </row>
    <row r="23" customFormat="false" ht="15" hidden="false" customHeight="false" outlineLevel="0" collapsed="false">
      <c r="A23" s="4"/>
      <c r="B23" s="3" t="s">
        <v>27</v>
      </c>
      <c r="C23" s="4"/>
      <c r="D23" s="4"/>
      <c r="E23" s="4"/>
      <c r="F23" s="4"/>
      <c r="G23" s="14" t="n">
        <f aca="false">SUM(G4:G21)</f>
        <v>7869.9175392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6"/>
    <col collapsed="false" customWidth="true" hidden="false" outlineLevel="0" max="3" min="3" style="0" width="12"/>
  </cols>
  <sheetData>
    <row r="1" customFormat="false" ht="17.35" hidden="false" customHeight="false" outlineLevel="0" collapsed="false">
      <c r="A1" s="1" t="s">
        <v>195</v>
      </c>
      <c r="B1" s="4"/>
      <c r="C1" s="4"/>
    </row>
    <row r="2" customFormat="false" ht="15" hidden="false" customHeight="false" outlineLevel="0" collapsed="false">
      <c r="A2" s="4"/>
      <c r="B2" s="4"/>
      <c r="C2" s="4"/>
    </row>
    <row r="3" customFormat="false" ht="15" hidden="false" customHeight="false" outlineLevel="0" collapsed="false">
      <c r="A3" s="5" t="s">
        <v>84</v>
      </c>
      <c r="B3" s="5" t="s">
        <v>171</v>
      </c>
      <c r="C3" s="5" t="s">
        <v>196</v>
      </c>
    </row>
    <row r="4" customFormat="false" ht="15" hidden="false" customHeight="false" outlineLevel="0" collapsed="false">
      <c r="A4" s="2" t="s">
        <v>88</v>
      </c>
      <c r="B4" s="15" t="n">
        <f aca="false">SUMIF(Calculations!$A$4:$A$21,A4,Calculations!$G$4:$G$21)</f>
        <v>77.3729</v>
      </c>
      <c r="C4" s="16" t="n">
        <f aca="false">B4/$B$7</f>
        <v>0.00983147531274707</v>
      </c>
    </row>
    <row r="5" customFormat="false" ht="15" hidden="false" customHeight="false" outlineLevel="0" collapsed="false">
      <c r="A5" s="2" t="s">
        <v>97</v>
      </c>
      <c r="B5" s="15" t="n">
        <f aca="false">SUMIF(Calculations!$A$4:$A$21,A5,Calculations!$G$4:$G$21)</f>
        <v>19.5</v>
      </c>
      <c r="C5" s="16" t="n">
        <f aca="false">B5/$B$7</f>
        <v>0.00247778962141225</v>
      </c>
    </row>
    <row r="6" customFormat="false" ht="15" hidden="false" customHeight="false" outlineLevel="0" collapsed="false">
      <c r="A6" s="2" t="s">
        <v>100</v>
      </c>
      <c r="B6" s="15" t="n">
        <f aca="false">SUMIF(Calculations!$A$4:$A$21,A6,Calculations!$G$4:$G$21)</f>
        <v>7773.0446392</v>
      </c>
      <c r="C6" s="16" t="n">
        <f aca="false">B6/$B$7</f>
        <v>0.987690735065841</v>
      </c>
    </row>
    <row r="7" customFormat="false" ht="15" hidden="false" customHeight="false" outlineLevel="0" collapsed="false">
      <c r="A7" s="3" t="s">
        <v>27</v>
      </c>
      <c r="B7" s="14" t="n">
        <f aca="false">SUM(B4:B6)</f>
        <v>7869.9175392</v>
      </c>
      <c r="C7" s="4"/>
    </row>
    <row r="8" customFormat="false" ht="15" hidden="false" customHeight="false" outlineLevel="0" collapsed="false">
      <c r="A8" s="4"/>
      <c r="B8" s="4"/>
      <c r="C8" s="4"/>
    </row>
    <row r="9" customFormat="false" ht="26.85" hidden="false" customHeight="false" outlineLevel="0" collapsed="false">
      <c r="A9" s="5" t="s">
        <v>197</v>
      </c>
      <c r="B9" s="5" t="s">
        <v>171</v>
      </c>
      <c r="C9" s="5" t="s">
        <v>198</v>
      </c>
    </row>
    <row r="10" customFormat="false" ht="15" hidden="false" customHeight="false" outlineLevel="0" collapsed="false">
      <c r="A10" s="2" t="s">
        <v>199</v>
      </c>
      <c r="B10" s="15" t="n">
        <f aca="false">SUMIF(Calculations!$B$4:$B$21,"Cat 1: Cotton*",Calculations!$G$4:$G$21)</f>
        <v>2088</v>
      </c>
      <c r="C10" s="16" t="n">
        <f aca="false">B10/$B$6</f>
        <v>0.268620610959838</v>
      </c>
    </row>
    <row r="11" customFormat="false" ht="15" hidden="false" customHeight="false" outlineLevel="0" collapsed="false">
      <c r="A11" s="2" t="s">
        <v>200</v>
      </c>
      <c r="B11" s="15" t="n">
        <f aca="false">SUMIF(Calculations!$B$4:$B$21,"Cat 1: Polyester yarn*",Calculations!$G$4:$G$21)</f>
        <v>2856</v>
      </c>
      <c r="C11" s="16" t="n">
        <f aca="false">B11/$B$6</f>
        <v>0.367423594301388</v>
      </c>
    </row>
    <row r="12" customFormat="false" ht="15" hidden="false" customHeight="false" outlineLevel="0" collapsed="false">
      <c r="A12" s="2" t="s">
        <v>183</v>
      </c>
      <c r="B12" s="15" t="n">
        <f aca="false">SUMIF(Calculations!$B$4:$B$21,"Cat 1: Polyester fabric",Calculations!$G$4:$G$21)</f>
        <v>2570</v>
      </c>
      <c r="C12" s="16" t="n">
        <f aca="false">B12/$B$6</f>
        <v>0.330629774984092</v>
      </c>
    </row>
    <row r="13" customFormat="false" ht="15" hidden="false" customHeight="false" outlineLevel="0" collapsed="false">
      <c r="A13" s="2" t="s">
        <v>201</v>
      </c>
      <c r="B13" s="15" t="n">
        <f aca="false">SUMIF(Calculations!$B$4:$B$21,"Cat 4*",Calculations!$G$4:$G$21)</f>
        <v>165.988276</v>
      </c>
      <c r="C13" s="16" t="n">
        <f aca="false">B13/$B$6</f>
        <v>0.0213543448808861</v>
      </c>
    </row>
    <row r="14" customFormat="false" ht="15" hidden="false" customHeight="false" outlineLevel="0" collapsed="false">
      <c r="A14" s="2" t="s">
        <v>202</v>
      </c>
      <c r="B14" s="15" t="n">
        <f aca="false">SUMIF(Calculations!$B$4:$B$21,"Cat 9*",Calculations!$G$4:$G$21)</f>
        <v>69.3306768</v>
      </c>
      <c r="C14" s="16" t="n">
        <f aca="false">B14/$B$6</f>
        <v>0.008919372011626</v>
      </c>
    </row>
    <row r="15" customFormat="false" ht="15" hidden="false" customHeight="false" outlineLevel="0" collapsed="false">
      <c r="A15" s="2" t="s">
        <v>203</v>
      </c>
      <c r="B15" s="15" t="n">
        <f aca="false">SUMIF(Calculations!$B$4:$B$21,"Cat 7*",Calculations!$G$4:$G$21)</f>
        <v>18.6912864</v>
      </c>
      <c r="C15" s="16" t="n">
        <f aca="false">B15/$B$6</f>
        <v>0.00240462872241059</v>
      </c>
    </row>
    <row r="16" customFormat="false" ht="15" hidden="false" customHeight="false" outlineLevel="0" collapsed="false">
      <c r="A16" s="2" t="s">
        <v>204</v>
      </c>
      <c r="B16" s="15" t="n">
        <f aca="false">SUMIF(Calculations!$B$4:$B$21,"Cat 6*",Calculations!$G$4:$G$21)</f>
        <v>5.0344</v>
      </c>
      <c r="C16" s="16" t="n">
        <f aca="false">B16/$B$6</f>
        <v>0.000647674139758721</v>
      </c>
    </row>
    <row r="17" customFormat="false" ht="15" hidden="false" customHeight="false" outlineLevel="0" collapsed="false">
      <c r="A17" s="4"/>
      <c r="B17" s="4"/>
      <c r="C17" s="4"/>
    </row>
    <row r="18" customFormat="false" ht="15" hidden="false" customHeight="false" outlineLevel="0" collapsed="false">
      <c r="A18" s="4"/>
      <c r="B18" s="4"/>
      <c r="C18" s="4"/>
    </row>
    <row r="19" customFormat="false" ht="26.85" hidden="false" customHeight="false" outlineLevel="0" collapsed="false">
      <c r="A19" s="5" t="s">
        <v>205</v>
      </c>
      <c r="B19" s="5" t="s">
        <v>206</v>
      </c>
      <c r="C19" s="5" t="s">
        <v>207</v>
      </c>
    </row>
    <row r="20" customFormat="false" ht="15" hidden="false" customHeight="false" outlineLevel="0" collapsed="false">
      <c r="A20" s="2" t="s">
        <v>208</v>
      </c>
      <c r="B20" s="15" t="n">
        <f aca="false">SUMIF(Calculations!$B$4:$B$21,"Cat 1: Cotton yarn, India",Calculations!$G$4:$G$21)</f>
        <v>1073</v>
      </c>
      <c r="C20" s="15" t="n">
        <f aca="false">SUMIF(Calculations!$B$4:$B$21,"Cat 1: Polyester yarn, India",Calculations!$G$4:$G$21)</f>
        <v>1428</v>
      </c>
    </row>
    <row r="21" customFormat="false" ht="15" hidden="false" customHeight="false" outlineLevel="0" collapsed="false">
      <c r="A21" s="2" t="s">
        <v>209</v>
      </c>
      <c r="B21" s="15" t="n">
        <f aca="false">SUMIF(Calculations!$B$4:$B$21,"Cat 1: Cotton yarn, China",Calculations!$G$4:$G$21)</f>
        <v>716.59</v>
      </c>
      <c r="C21" s="15" t="n">
        <f aca="false">SUMIF(Calculations!$B$4:$B$21,"Cat 1: Polyester yarn, China",Calculations!$G$4:$G$21)</f>
        <v>999.6</v>
      </c>
    </row>
    <row r="22" customFormat="false" ht="15" hidden="false" customHeight="false" outlineLevel="0" collapsed="false">
      <c r="A22" s="2" t="s">
        <v>210</v>
      </c>
      <c r="B22" s="15" t="n">
        <f aca="false">SUMIF(Calculations!$B$4:$B$21,"Cat 1: Cotton yarn, US",Calculations!$G$4:$G$21)</f>
        <v>298.41</v>
      </c>
      <c r="C22" s="15" t="n">
        <f aca="false">SUMIF(Calculations!$B$4:$B$21,"Cat 1: Polyester yarn, US",Calculations!$G$4:$G$21)</f>
        <v>428.4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2026-10-06T06:26:44Z</dcterms:created>
  <dc:creator>Harshita Sadhna</dc:creator>
  <dc:description/>
  <dc:language>en-US</dc:language>
  <cp:lastModifiedBy/>
  <dcterms:modified xsi:type="dcterms:W3CDTF">2026-10-06T06:26:46Z</dcterms:modified>
  <cp:revision>1</cp:revision>
  <dc:subject/>
  <dc:title>GHG Inventory Model (Portfolio Version)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