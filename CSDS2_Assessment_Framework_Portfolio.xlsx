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cope Rules" sheetId="2" state="visible" r:id="rId4"/>
    <sheet name="Checklist" sheetId="3" state="visible" r:id="rId5"/>
    <sheet name="Summary" sheetId="4" state="visible" r:id="rId6"/>
    <sheet name="Judgment Cal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<sst xmlns="http://schemas.openxmlformats.org/spreadsheetml/2006/main" count="284" uniqueCount="185">
  <si>
    <t xml:space="preserve">CSDS 2 Climate Disclosure Assessment Framework (Portfolio Version)</t>
  </si>
  <si>
    <t xml:space="preserve">A checklist for scoring a company's climate or sustainability report against the Canadian Sustainability Disclosure Standard 2 (CSDS 2).</t>
  </si>
  <si>
    <t xml:space="preserve">Built from my work benchmarking 100+ TSX-listed companies at the Canada Climate Law Initiative. Requirement wording is paraphrased.</t>
  </si>
  <si>
    <t xml:space="preserve">No research results are included. The example column scores a fictional company to show how the checklist is used.</t>
  </si>
  <si>
    <t xml:space="preserve">Sheets</t>
  </si>
  <si>
    <t xml:space="preserve">Scope Rules: what counts as an eligible report and how edge cases are handled.</t>
  </si>
  <si>
    <t xml:space="preserve">Checklist: CSDS 2 requirements by pillar, scored Y or N with page evidence.</t>
  </si>
  <si>
    <t xml:space="preserve">Summary: disclosure rate by pillar, calculated from the checklist.</t>
  </si>
  <si>
    <t xml:space="preserve">Judgment Calls: recurring edge cases and how each was resolved.</t>
  </si>
  <si>
    <t xml:space="preserve">Prepared by Harshita Sadhna</t>
  </si>
  <si>
    <t xml:space="preserve">Scope and scoring rules</t>
  </si>
  <si>
    <t xml:space="preserve">Rule</t>
  </si>
  <si>
    <t xml:space="preserve">Detail</t>
  </si>
  <si>
    <t xml:space="preserve">Eligible report</t>
  </si>
  <si>
    <t xml:space="preserve">Climate or sustainability report published in 2026 that covers fiscal 2025 data</t>
  </si>
  <si>
    <t xml:space="preserve">Older data</t>
  </si>
  <si>
    <t xml:space="preserve">Reports covering 2024 data are recorded but not scored</t>
  </si>
  <si>
    <t xml:space="preserve">Non-calendar years</t>
  </si>
  <si>
    <t xml:space="preserve">Accepted if the fiscal year ends in 2025; fiscal period noted</t>
  </si>
  <si>
    <t xml:space="preserve">Multiple documents</t>
  </si>
  <si>
    <t xml:space="preserve">Sustainability report, separate climate or TCFD report and data supplements are read together</t>
  </si>
  <si>
    <t xml:space="preserve">Scoring</t>
  </si>
  <si>
    <t xml:space="preserve">Y only where the report itself discloses the item; intentions or future commitments score N</t>
  </si>
  <si>
    <t xml:space="preserve">Evidence</t>
  </si>
  <si>
    <t xml:space="preserve">Page reference recorded for every Y so a reviewer can verify it</t>
  </si>
  <si>
    <t xml:space="preserve">Framework references</t>
  </si>
  <si>
    <t xml:space="preserve">Note whether the report cites TCFD, ISSB, SASB or CSDS, and whether a mapping index is included</t>
  </si>
  <si>
    <t xml:space="preserve">CSDS 2 checklist (requirements paraphrased)</t>
  </si>
  <si>
    <t xml:space="preserve">Example column scores a fictional company, 'Example Co.'. Use Y or N only.</t>
  </si>
  <si>
    <t xml:space="preserve">Pillar</t>
  </si>
  <si>
    <t xml:space="preserve">Para.</t>
  </si>
  <si>
    <t xml:space="preserve">Requirement</t>
  </si>
  <si>
    <t xml:space="preserve">Example Co. (Y/N)</t>
  </si>
  <si>
    <t xml:space="preserve">Page</t>
  </si>
  <si>
    <t xml:space="preserve">Evidence / note</t>
  </si>
  <si>
    <t xml:space="preserve">Governance</t>
  </si>
  <si>
    <t xml:space="preserve">6(a)</t>
  </si>
  <si>
    <t xml:space="preserve">Board or committee overseeing climate risks and opportunities is identified</t>
  </si>
  <si>
    <t xml:space="preserve">Y</t>
  </si>
  <si>
    <t xml:space="preserve">12</t>
  </si>
  <si>
    <t xml:space="preserve">Sustainability committee of the board</t>
  </si>
  <si>
    <t xml:space="preserve">6(a)(i)</t>
  </si>
  <si>
    <t xml:space="preserve">Climate responsibilities appear in mandates or terms of reference</t>
  </si>
  <si>
    <t xml:space="preserve">6(a)(ii)</t>
  </si>
  <si>
    <t xml:space="preserve">How the board ensures it has the right climate skills</t>
  </si>
  <si>
    <t xml:space="preserve">N</t>
  </si>
  <si>
    <t xml:space="preserve">6(a)(iii)</t>
  </si>
  <si>
    <t xml:space="preserve">How and how often the board is informed about climate issues</t>
  </si>
  <si>
    <t xml:space="preserve">13</t>
  </si>
  <si>
    <t xml:space="preserve">Quarterly updates</t>
  </si>
  <si>
    <t xml:space="preserve">6(a)(iv)</t>
  </si>
  <si>
    <t xml:space="preserve">Climate considered in strategy, major transactions and risk policy</t>
  </si>
  <si>
    <t xml:space="preserve">6(a)(v)</t>
  </si>
  <si>
    <t xml:space="preserve">Board oversees climate target-setting and progress</t>
  </si>
  <si>
    <t xml:space="preserve">6(b)(i)</t>
  </si>
  <si>
    <t xml:space="preserve">Management role or committee for climate is named</t>
  </si>
  <si>
    <t xml:space="preserve">14</t>
  </si>
  <si>
    <t xml:space="preserve">6(b)(ii)</t>
  </si>
  <si>
    <t xml:space="preserve">Controls and procedures supporting oversight are described</t>
  </si>
  <si>
    <t xml:space="preserve">Strategy</t>
  </si>
  <si>
    <t xml:space="preserve">10(a)</t>
  </si>
  <si>
    <t xml:space="preserve">Climate risks and opportunities are described</t>
  </si>
  <si>
    <t xml:space="preserve">18</t>
  </si>
  <si>
    <t xml:space="preserve">10(b)</t>
  </si>
  <si>
    <t xml:space="preserve">Each risk classified as physical or transition</t>
  </si>
  <si>
    <t xml:space="preserve">10(c)</t>
  </si>
  <si>
    <t xml:space="preserve">Time horizon given for each risk and opportunity</t>
  </si>
  <si>
    <t xml:space="preserve">10(d)</t>
  </si>
  <si>
    <t xml:space="preserve">Short, medium and long term are defined</t>
  </si>
  <si>
    <t xml:space="preserve">13(a)</t>
  </si>
  <si>
    <t xml:space="preserve">Effects on business model and value chain</t>
  </si>
  <si>
    <t xml:space="preserve">19</t>
  </si>
  <si>
    <t xml:space="preserve">13(b)</t>
  </si>
  <si>
    <t xml:space="preserve">Where in the value chain risks are concentrated</t>
  </si>
  <si>
    <t xml:space="preserve">14(a)</t>
  </si>
  <si>
    <t xml:space="preserve">Response in strategy: business model, mitigation and adaptation</t>
  </si>
  <si>
    <t xml:space="preserve">20</t>
  </si>
  <si>
    <t xml:space="preserve">14(a)(iv)</t>
  </si>
  <si>
    <t xml:space="preserve">Transition plan, including key assumptions</t>
  </si>
  <si>
    <t xml:space="preserve">14(b)</t>
  </si>
  <si>
    <t xml:space="preserve">How these activities are resourced</t>
  </si>
  <si>
    <t xml:space="preserve">14(c)</t>
  </si>
  <si>
    <t xml:space="preserve">Progress on plans disclosed in earlier periods</t>
  </si>
  <si>
    <t xml:space="preserve">21</t>
  </si>
  <si>
    <t xml:space="preserve">Financial effects</t>
  </si>
  <si>
    <t xml:space="preserve">15(a)</t>
  </si>
  <si>
    <t xml:space="preserve">Current financial effects of climate risks and opportunities</t>
  </si>
  <si>
    <t xml:space="preserve">15(b)</t>
  </si>
  <si>
    <t xml:space="preserve">Anticipated financial effects over time</t>
  </si>
  <si>
    <t xml:space="preserve">16(c)(i)</t>
  </si>
  <si>
    <t xml:space="preserve">Investment and disposal plans linked to climate strategy</t>
  </si>
  <si>
    <t xml:space="preserve">If not quantified, reason given and qualitative effects described</t>
  </si>
  <si>
    <t xml:space="preserve">Resilience</t>
  </si>
  <si>
    <t xml:space="preserve">22(a)</t>
  </si>
  <si>
    <t xml:space="preserve">Climate resilience assessment and its implications</t>
  </si>
  <si>
    <t xml:space="preserve">22(b)(i)</t>
  </si>
  <si>
    <t xml:space="preserve">Scenarios used, including one aligned with the Paris Agreement</t>
  </si>
  <si>
    <t xml:space="preserve">22(b)(ii)</t>
  </si>
  <si>
    <t xml:space="preserve">Key assumptions in scenario analysis</t>
  </si>
  <si>
    <t xml:space="preserve">Risk management</t>
  </si>
  <si>
    <t xml:space="preserve">25(a)</t>
  </si>
  <si>
    <t xml:space="preserve">Process to identify, assess and prioritize climate risks</t>
  </si>
  <si>
    <t xml:space="preserve">24</t>
  </si>
  <si>
    <t xml:space="preserve">25(a)(v)</t>
  </si>
  <si>
    <t xml:space="preserve">How climate risks are monitored</t>
  </si>
  <si>
    <t xml:space="preserve">25(b)</t>
  </si>
  <si>
    <t xml:space="preserve">Process for climate opportunities</t>
  </si>
  <si>
    <t xml:space="preserve">25(c)</t>
  </si>
  <si>
    <t xml:space="preserve">Integration with overall risk management</t>
  </si>
  <si>
    <t xml:space="preserve">25</t>
  </si>
  <si>
    <t xml:space="preserve">Enterprise risk register</t>
  </si>
  <si>
    <t xml:space="preserve">Metrics</t>
  </si>
  <si>
    <t xml:space="preserve">29(a)(i)(1)</t>
  </si>
  <si>
    <t xml:space="preserve">Scope 1 emissions disclosed</t>
  </si>
  <si>
    <t xml:space="preserve">30</t>
  </si>
  <si>
    <t xml:space="preserve">29(a)(i)(2)</t>
  </si>
  <si>
    <t xml:space="preserve">Scope 2 emissions disclosed</t>
  </si>
  <si>
    <t xml:space="preserve">Location-based</t>
  </si>
  <si>
    <t xml:space="preserve">29(a)(i)(3)</t>
  </si>
  <si>
    <t xml:space="preserve">Scope 3 emissions disclosed</t>
  </si>
  <si>
    <t xml:space="preserve">Commits to Scope 3 next year: scored N</t>
  </si>
  <si>
    <t xml:space="preserve">29(a)(ii)</t>
  </si>
  <si>
    <t xml:space="preserve">Measured under the GHG Protocol</t>
  </si>
  <si>
    <t xml:space="preserve">31</t>
  </si>
  <si>
    <t xml:space="preserve">29(a)(iii)</t>
  </si>
  <si>
    <t xml:space="preserve">Measurement approach, inputs and assumptions explained</t>
  </si>
  <si>
    <t xml:space="preserve">29(a)(v)</t>
  </si>
  <si>
    <t xml:space="preserve">Location-based Scope 2 provided</t>
  </si>
  <si>
    <t xml:space="preserve">29(a)(vi)</t>
  </si>
  <si>
    <t xml:space="preserve">Scope 3 categories included are listed</t>
  </si>
  <si>
    <t xml:space="preserve">29(b)-(c)</t>
  </si>
  <si>
    <t xml:space="preserve">Assets or activities exposed to transition and physical risks</t>
  </si>
  <si>
    <t xml:space="preserve">29(e)</t>
  </si>
  <si>
    <t xml:space="preserve">Capital deployed toward climate risks and opportunities</t>
  </si>
  <si>
    <t xml:space="preserve">29(f)</t>
  </si>
  <si>
    <t xml:space="preserve">Internal carbon price and how it is used</t>
  </si>
  <si>
    <t xml:space="preserve">29(g)</t>
  </si>
  <si>
    <t xml:space="preserve">Climate link to executive pay</t>
  </si>
  <si>
    <t xml:space="preserve">34</t>
  </si>
  <si>
    <t xml:space="preserve">Targets</t>
  </si>
  <si>
    <t xml:space="preserve">33(a)-(g)</t>
  </si>
  <si>
    <t xml:space="preserve">Target metric, scope, period, base year, milestones and type</t>
  </si>
  <si>
    <t xml:space="preserve">35</t>
  </si>
  <si>
    <t xml:space="preserve">Absolute Scope 1 and 2 target</t>
  </si>
  <si>
    <t xml:space="preserve">34(a)</t>
  </si>
  <si>
    <t xml:space="preserve">Target validated by a third party</t>
  </si>
  <si>
    <t xml:space="preserve">Performance against each target</t>
  </si>
  <si>
    <t xml:space="preserve">36</t>
  </si>
  <si>
    <t xml:space="preserve">36(b)</t>
  </si>
  <si>
    <t xml:space="preserve">Which scopes each GHG target covers</t>
  </si>
  <si>
    <t xml:space="preserve">36(e)</t>
  </si>
  <si>
    <t xml:space="preserve">Planned use of carbon credits explained</t>
  </si>
  <si>
    <t xml:space="preserve">Disclosure rate by pillar (Example Co.)</t>
  </si>
  <si>
    <t xml:space="preserve">Requirements</t>
  </si>
  <si>
    <t xml:space="preserve">Disclosed (Y)</t>
  </si>
  <si>
    <t xml:space="preserve">Rate</t>
  </si>
  <si>
    <t xml:space="preserve">Overall</t>
  </si>
  <si>
    <t xml:space="preserve">Recurring edge cases and how they were scored</t>
  </si>
  <si>
    <t xml:space="preserve">Situation</t>
  </si>
  <si>
    <t xml:space="preserve">How it was handled</t>
  </si>
  <si>
    <t xml:space="preserve">Why</t>
  </si>
  <si>
    <t xml:space="preserve">Report published in 2026 but covering 2024 data</t>
  </si>
  <si>
    <t xml:space="preserve">Recorded, not scored</t>
  </si>
  <si>
    <t xml:space="preserve">Scope rule requires 2025 data</t>
  </si>
  <si>
    <t xml:space="preserve">Company removed environmental disclosures citing Bill C-59</t>
  </si>
  <si>
    <t xml:space="preserve">Recorded as no eligible report; reason noted</t>
  </si>
  <si>
    <t xml:space="preserve">Shows how the Competition Act changes affected disclosure</t>
  </si>
  <si>
    <t xml:space="preserve">Broad safe-harbour disclaimer over emissions figures</t>
  </si>
  <si>
    <t xml:space="preserve">Scored on content, disclaimer noted</t>
  </si>
  <si>
    <t xml:space="preserve">Disclaimer does not remove the disclosure, but users should know</t>
  </si>
  <si>
    <t xml:space="preserve">Document is a performance summary, not a full report</t>
  </si>
  <si>
    <t xml:space="preserve">Not treated as a full report</t>
  </si>
  <si>
    <t xml:space="preserve">Company itself describes it as a summary</t>
  </si>
  <si>
    <t xml:space="preserve">ESG policy with commitments but no data</t>
  </si>
  <si>
    <t xml:space="preserve">Scored N throughout</t>
  </si>
  <si>
    <t xml:space="preserve">Forward-looking commitments are not disclosures</t>
  </si>
  <si>
    <t xml:space="preserve">Climate content split across several documents</t>
  </si>
  <si>
    <t xml:space="preserve">All documents read together, each linked</t>
  </si>
  <si>
    <t xml:space="preserve">Avoids under-scoring companies with separate TCFD reports</t>
  </si>
  <si>
    <t xml:space="preserve">Report cites TCFD or ISSB and includes an index</t>
  </si>
  <si>
    <t xml:space="preserve">Index used to locate items, each item still verified in the text</t>
  </si>
  <si>
    <t xml:space="preserve">An index entry alone is not evidence</t>
  </si>
  <si>
    <t xml:space="preserve">Environmental data one year older than governance data</t>
  </si>
  <si>
    <t xml:space="preserve">Metrics scored N for 2025, note added</t>
  </si>
  <si>
    <t xml:space="preserve">Data year must match the reporting period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</si>
</sst>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Disclosure rate by pillar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Governance</c:v>
                </c:pt>
                <c:pt idx="1">
                  <c:v>Strategy</c:v>
                </c:pt>
                <c:pt idx="2">
                  <c:v>Financial effects</c:v>
                </c:pt>
                <c:pt idx="3">
                  <c:v>Resilience</c:v>
                </c:pt>
                <c:pt idx="4">
                  <c:v>Risk management</c:v>
                </c:pt>
                <c:pt idx="5">
                  <c:v>Metrics</c:v>
                </c:pt>
                <c:pt idx="6">
                  <c:v>Targets</c:v>
                </c:pt>
              </c:strCache>
            </c:strRef>
          </c:cat>
          <c:val>
            <c:numRef>
              <c:f>Summary!$D$4:$D$10</c:f>
              <c:numCache>
                <c:formatCode>0%</c:formatCode>
                <c:ptCount val="7"/>
                <c:pt idx="0">
                  <c:v>0.625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0.75</c:v>
                </c:pt>
                <c:pt idx="5">
                  <c:v>0.545454545454545</c:v>
                </c:pt>
                <c:pt idx="6">
                  <c:v>0.6</c:v>
                </c:pt>
              </c:numCache>
            </c:numRef>
          </c:val>
        </c:ser>
        <c:gapWidth val="150"/>
        <c:overlap val="0"/>
        <c:axId val="10343320"/>
        <c:axId val="5842474"/>
      </c:barChart>
      <c:catAx>
        <c:axId val="1034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2474"/>
        <c:crosses val="autoZero"/>
        <c:auto val="1"/>
        <c:lblAlgn val="ctr"/>
        <c:lblOffset val="100"/>
        <c:noMultiLvlLbl val="0"/>
      </c:catAx>
      <c:valAx>
        <c:axId val="5842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43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2635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</row>
    <row r="4" customFormat="false" ht="15" hidden="false" customHeight="false" outlineLevel="0" collapsed="false">
      <c r="A4" s="3" t="s">
        <v>13</v>
      </c>
      <c r="B4" s="5" t="s">
        <v>14</v>
      </c>
    </row>
    <row r="5" customFormat="false" ht="15" hidden="false" customHeight="false" outlineLevel="0" collapsed="false">
      <c r="A5" s="3" t="s">
        <v>15</v>
      </c>
      <c r="B5" s="5" t="s">
        <v>16</v>
      </c>
    </row>
    <row r="6" customFormat="false" ht="15" hidden="false" customHeight="false" outlineLevel="0" collapsed="false">
      <c r="A6" s="3" t="s">
        <v>17</v>
      </c>
      <c r="B6" s="5" t="s">
        <v>18</v>
      </c>
    </row>
    <row r="7" customFormat="false" ht="15" hidden="false" customHeight="false" outlineLevel="0" collapsed="false">
      <c r="A7" s="3" t="s">
        <v>19</v>
      </c>
      <c r="B7" s="5" t="s">
        <v>20</v>
      </c>
    </row>
    <row r="8" customFormat="false" ht="15" hidden="false" customHeight="false" outlineLevel="0" collapsed="false">
      <c r="A8" s="3" t="s">
        <v>21</v>
      </c>
      <c r="B8" s="5" t="s">
        <v>22</v>
      </c>
    </row>
    <row r="9" customFormat="false" ht="15" hidden="false" customHeight="false" outlineLevel="0" collapsed="false">
      <c r="A9" s="3" t="s">
        <v>23</v>
      </c>
      <c r="B9" s="5" t="s">
        <v>24</v>
      </c>
    </row>
    <row r="10" customFormat="false" ht="26.85" hidden="false" customHeight="false" outlineLevel="0" collapsed="false">
      <c r="A10" s="3" t="s">
        <v>25</v>
      </c>
      <c r="B10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6" t="s">
        <v>28</v>
      </c>
    </row>
    <row r="4" customFormat="false" ht="26.85" hidden="false" customHeight="false" outlineLevel="0" collapsed="false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</row>
    <row r="5" customFormat="false" ht="15" hidden="false" customHeight="false" outlineLevel="0" collapsed="false">
      <c r="A5" s="5" t="s">
        <v>35</v>
      </c>
      <c r="B5" s="5" t="s">
        <v>36</v>
      </c>
      <c r="C5" s="5" t="s">
        <v>37</v>
      </c>
      <c r="D5" s="7" t="s">
        <v>38</v>
      </c>
      <c r="E5" s="5" t="s">
        <v>39</v>
      </c>
      <c r="F5" s="5" t="s">
        <v>40</v>
      </c>
    </row>
    <row r="6" customFormat="false" ht="15" hidden="false" customHeight="false" outlineLevel="0" collapsed="false">
      <c r="A6" s="5" t="s">
        <v>35</v>
      </c>
      <c r="B6" s="5" t="s">
        <v>41</v>
      </c>
      <c r="C6" s="5" t="s">
        <v>42</v>
      </c>
      <c r="D6" s="7" t="s">
        <v>38</v>
      </c>
      <c r="E6" s="5" t="s">
        <v>39</v>
      </c>
      <c r="F6" s="5"/>
    </row>
    <row r="7" customFormat="false" ht="15" hidden="false" customHeight="false" outlineLevel="0" collapsed="false">
      <c r="A7" s="5" t="s">
        <v>35</v>
      </c>
      <c r="B7" s="5" t="s">
        <v>43</v>
      </c>
      <c r="C7" s="5" t="s">
        <v>44</v>
      </c>
      <c r="D7" s="7" t="s">
        <v>45</v>
      </c>
      <c r="E7" s="5"/>
      <c r="F7" s="5"/>
    </row>
    <row r="8" customFormat="false" ht="15" hidden="false" customHeight="false" outlineLevel="0" collapsed="false">
      <c r="A8" s="5" t="s">
        <v>35</v>
      </c>
      <c r="B8" s="5" t="s">
        <v>46</v>
      </c>
      <c r="C8" s="5" t="s">
        <v>47</v>
      </c>
      <c r="D8" s="7" t="s">
        <v>38</v>
      </c>
      <c r="E8" s="5" t="s">
        <v>48</v>
      </c>
      <c r="F8" s="5" t="s">
        <v>49</v>
      </c>
    </row>
    <row r="9" customFormat="false" ht="15" hidden="false" customHeight="false" outlineLevel="0" collapsed="false">
      <c r="A9" s="5" t="s">
        <v>35</v>
      </c>
      <c r="B9" s="5" t="s">
        <v>50</v>
      </c>
      <c r="C9" s="5" t="s">
        <v>51</v>
      </c>
      <c r="D9" s="7" t="s">
        <v>45</v>
      </c>
      <c r="E9" s="5"/>
      <c r="F9" s="5"/>
    </row>
    <row r="10" customFormat="false" ht="15" hidden="false" customHeight="false" outlineLevel="0" collapsed="false">
      <c r="A10" s="5" t="s">
        <v>35</v>
      </c>
      <c r="B10" s="5" t="s">
        <v>52</v>
      </c>
      <c r="C10" s="5" t="s">
        <v>53</v>
      </c>
      <c r="D10" s="7" t="s">
        <v>38</v>
      </c>
      <c r="E10" s="5" t="s">
        <v>48</v>
      </c>
      <c r="F10" s="5"/>
    </row>
    <row r="11" customFormat="false" ht="15" hidden="false" customHeight="false" outlineLevel="0" collapsed="false">
      <c r="A11" s="5" t="s">
        <v>35</v>
      </c>
      <c r="B11" s="5" t="s">
        <v>54</v>
      </c>
      <c r="C11" s="5" t="s">
        <v>55</v>
      </c>
      <c r="D11" s="7" t="s">
        <v>38</v>
      </c>
      <c r="E11" s="5" t="s">
        <v>56</v>
      </c>
      <c r="F11" s="5"/>
    </row>
    <row r="12" customFormat="false" ht="15" hidden="false" customHeight="false" outlineLevel="0" collapsed="false">
      <c r="A12" s="5" t="s">
        <v>35</v>
      </c>
      <c r="B12" s="5" t="s">
        <v>57</v>
      </c>
      <c r="C12" s="5" t="s">
        <v>58</v>
      </c>
      <c r="D12" s="7" t="s">
        <v>45</v>
      </c>
      <c r="E12" s="5"/>
      <c r="F12" s="5"/>
    </row>
    <row r="13" customFormat="false" ht="15" hidden="false" customHeight="false" outlineLevel="0" collapsed="false">
      <c r="A13" s="5" t="s">
        <v>59</v>
      </c>
      <c r="B13" s="5" t="s">
        <v>60</v>
      </c>
      <c r="C13" s="5" t="s">
        <v>61</v>
      </c>
      <c r="D13" s="7" t="s">
        <v>38</v>
      </c>
      <c r="E13" s="5" t="s">
        <v>62</v>
      </c>
      <c r="F13" s="5"/>
    </row>
    <row r="14" customFormat="false" ht="15" hidden="false" customHeight="false" outlineLevel="0" collapsed="false">
      <c r="A14" s="5" t="s">
        <v>59</v>
      </c>
      <c r="B14" s="5" t="s">
        <v>63</v>
      </c>
      <c r="C14" s="5" t="s">
        <v>64</v>
      </c>
      <c r="D14" s="7" t="s">
        <v>38</v>
      </c>
      <c r="E14" s="5" t="s">
        <v>62</v>
      </c>
      <c r="F14" s="5"/>
    </row>
    <row r="15" customFormat="false" ht="15" hidden="false" customHeight="false" outlineLevel="0" collapsed="false">
      <c r="A15" s="5" t="s">
        <v>59</v>
      </c>
      <c r="B15" s="5" t="s">
        <v>65</v>
      </c>
      <c r="C15" s="5" t="s">
        <v>66</v>
      </c>
      <c r="D15" s="7" t="s">
        <v>45</v>
      </c>
      <c r="E15" s="5"/>
      <c r="F15" s="5"/>
    </row>
    <row r="16" customFormat="false" ht="15" hidden="false" customHeight="false" outlineLevel="0" collapsed="false">
      <c r="A16" s="5" t="s">
        <v>59</v>
      </c>
      <c r="B16" s="5" t="s">
        <v>67</v>
      </c>
      <c r="C16" s="5" t="s">
        <v>68</v>
      </c>
      <c r="D16" s="7" t="s">
        <v>45</v>
      </c>
      <c r="E16" s="5"/>
      <c r="F16" s="5"/>
    </row>
    <row r="17" customFormat="false" ht="15" hidden="false" customHeight="false" outlineLevel="0" collapsed="false">
      <c r="A17" s="5" t="s">
        <v>59</v>
      </c>
      <c r="B17" s="5" t="s">
        <v>69</v>
      </c>
      <c r="C17" s="5" t="s">
        <v>70</v>
      </c>
      <c r="D17" s="7" t="s">
        <v>38</v>
      </c>
      <c r="E17" s="5" t="s">
        <v>71</v>
      </c>
      <c r="F17" s="5"/>
    </row>
    <row r="18" customFormat="false" ht="15" hidden="false" customHeight="false" outlineLevel="0" collapsed="false">
      <c r="A18" s="5" t="s">
        <v>59</v>
      </c>
      <c r="B18" s="5" t="s">
        <v>72</v>
      </c>
      <c r="C18" s="5" t="s">
        <v>73</v>
      </c>
      <c r="D18" s="7" t="s">
        <v>45</v>
      </c>
      <c r="E18" s="5"/>
      <c r="F18" s="5"/>
    </row>
    <row r="19" customFormat="false" ht="15" hidden="false" customHeight="false" outlineLevel="0" collapsed="false">
      <c r="A19" s="5" t="s">
        <v>59</v>
      </c>
      <c r="B19" s="5" t="s">
        <v>74</v>
      </c>
      <c r="C19" s="5" t="s">
        <v>75</v>
      </c>
      <c r="D19" s="7" t="s">
        <v>38</v>
      </c>
      <c r="E19" s="5" t="s">
        <v>76</v>
      </c>
      <c r="F19" s="5"/>
    </row>
    <row r="20" customFormat="false" ht="15" hidden="false" customHeight="false" outlineLevel="0" collapsed="false">
      <c r="A20" s="5" t="s">
        <v>59</v>
      </c>
      <c r="B20" s="5" t="s">
        <v>77</v>
      </c>
      <c r="C20" s="5" t="s">
        <v>78</v>
      </c>
      <c r="D20" s="7" t="s">
        <v>45</v>
      </c>
      <c r="E20" s="5"/>
      <c r="F20" s="5"/>
    </row>
    <row r="21" customFormat="false" ht="15" hidden="false" customHeight="false" outlineLevel="0" collapsed="false">
      <c r="A21" s="5" t="s">
        <v>59</v>
      </c>
      <c r="B21" s="5" t="s">
        <v>79</v>
      </c>
      <c r="C21" s="5" t="s">
        <v>80</v>
      </c>
      <c r="D21" s="7" t="s">
        <v>45</v>
      </c>
      <c r="E21" s="5"/>
      <c r="F21" s="5"/>
    </row>
    <row r="22" customFormat="false" ht="15" hidden="false" customHeight="false" outlineLevel="0" collapsed="false">
      <c r="A22" s="5" t="s">
        <v>59</v>
      </c>
      <c r="B22" s="5" t="s">
        <v>81</v>
      </c>
      <c r="C22" s="5" t="s">
        <v>82</v>
      </c>
      <c r="D22" s="7" t="s">
        <v>38</v>
      </c>
      <c r="E22" s="5" t="s">
        <v>83</v>
      </c>
      <c r="F22" s="5"/>
    </row>
    <row r="23" customFormat="false" ht="15" hidden="false" customHeight="false" outlineLevel="0" collapsed="false">
      <c r="A23" s="5" t="s">
        <v>84</v>
      </c>
      <c r="B23" s="5" t="s">
        <v>85</v>
      </c>
      <c r="C23" s="5" t="s">
        <v>86</v>
      </c>
      <c r="D23" s="7" t="s">
        <v>45</v>
      </c>
      <c r="E23" s="5"/>
      <c r="F23" s="5"/>
    </row>
    <row r="24" customFormat="false" ht="15" hidden="false" customHeight="false" outlineLevel="0" collapsed="false">
      <c r="A24" s="5" t="s">
        <v>84</v>
      </c>
      <c r="B24" s="5" t="s">
        <v>87</v>
      </c>
      <c r="C24" s="5" t="s">
        <v>88</v>
      </c>
      <c r="D24" s="7" t="s">
        <v>45</v>
      </c>
      <c r="E24" s="5"/>
      <c r="F24" s="5"/>
    </row>
    <row r="25" customFormat="false" ht="15" hidden="false" customHeight="false" outlineLevel="0" collapsed="false">
      <c r="A25" s="5" t="s">
        <v>84</v>
      </c>
      <c r="B25" s="5" t="s">
        <v>89</v>
      </c>
      <c r="C25" s="5" t="s">
        <v>90</v>
      </c>
      <c r="D25" s="7" t="s">
        <v>45</v>
      </c>
      <c r="E25" s="5"/>
      <c r="F25" s="5"/>
    </row>
    <row r="26" customFormat="false" ht="15" hidden="false" customHeight="false" outlineLevel="0" collapsed="false">
      <c r="A26" s="5" t="s">
        <v>84</v>
      </c>
      <c r="B26" s="5" t="s">
        <v>83</v>
      </c>
      <c r="C26" s="5" t="s">
        <v>91</v>
      </c>
      <c r="D26" s="7" t="s">
        <v>45</v>
      </c>
      <c r="E26" s="5"/>
      <c r="F26" s="5"/>
    </row>
    <row r="27" customFormat="false" ht="15" hidden="false" customHeight="false" outlineLevel="0" collapsed="false">
      <c r="A27" s="5" t="s">
        <v>92</v>
      </c>
      <c r="B27" s="5" t="s">
        <v>93</v>
      </c>
      <c r="C27" s="5" t="s">
        <v>94</v>
      </c>
      <c r="D27" s="7" t="s">
        <v>45</v>
      </c>
      <c r="E27" s="5"/>
      <c r="F27" s="5"/>
    </row>
    <row r="28" customFormat="false" ht="15" hidden="false" customHeight="false" outlineLevel="0" collapsed="false">
      <c r="A28" s="5" t="s">
        <v>92</v>
      </c>
      <c r="B28" s="5" t="s">
        <v>95</v>
      </c>
      <c r="C28" s="5" t="s">
        <v>96</v>
      </c>
      <c r="D28" s="7" t="s">
        <v>45</v>
      </c>
      <c r="E28" s="5"/>
      <c r="F28" s="5"/>
    </row>
    <row r="29" customFormat="false" ht="15" hidden="false" customHeight="false" outlineLevel="0" collapsed="false">
      <c r="A29" s="5" t="s">
        <v>92</v>
      </c>
      <c r="B29" s="5" t="s">
        <v>97</v>
      </c>
      <c r="C29" s="5" t="s">
        <v>98</v>
      </c>
      <c r="D29" s="7" t="s">
        <v>45</v>
      </c>
      <c r="E29" s="5"/>
      <c r="F29" s="5"/>
    </row>
    <row r="30" customFormat="false" ht="15" hidden="false" customHeight="false" outlineLevel="0" collapsed="false">
      <c r="A30" s="5" t="s">
        <v>99</v>
      </c>
      <c r="B30" s="5" t="s">
        <v>100</v>
      </c>
      <c r="C30" s="5" t="s">
        <v>101</v>
      </c>
      <c r="D30" s="7" t="s">
        <v>38</v>
      </c>
      <c r="E30" s="5" t="s">
        <v>102</v>
      </c>
      <c r="F30" s="5"/>
    </row>
    <row r="31" customFormat="false" ht="15" hidden="false" customHeight="false" outlineLevel="0" collapsed="false">
      <c r="A31" s="5" t="s">
        <v>99</v>
      </c>
      <c r="B31" s="5" t="s">
        <v>103</v>
      </c>
      <c r="C31" s="5" t="s">
        <v>104</v>
      </c>
      <c r="D31" s="7" t="s">
        <v>38</v>
      </c>
      <c r="E31" s="5" t="s">
        <v>102</v>
      </c>
      <c r="F31" s="5"/>
    </row>
    <row r="32" customFormat="false" ht="15" hidden="false" customHeight="false" outlineLevel="0" collapsed="false">
      <c r="A32" s="5" t="s">
        <v>99</v>
      </c>
      <c r="B32" s="5" t="s">
        <v>105</v>
      </c>
      <c r="C32" s="5" t="s">
        <v>106</v>
      </c>
      <c r="D32" s="7" t="s">
        <v>45</v>
      </c>
      <c r="E32" s="5"/>
      <c r="F32" s="5"/>
    </row>
    <row r="33" customFormat="false" ht="15" hidden="false" customHeight="false" outlineLevel="0" collapsed="false">
      <c r="A33" s="5" t="s">
        <v>99</v>
      </c>
      <c r="B33" s="5" t="s">
        <v>107</v>
      </c>
      <c r="C33" s="5" t="s">
        <v>108</v>
      </c>
      <c r="D33" s="7" t="s">
        <v>38</v>
      </c>
      <c r="E33" s="5" t="s">
        <v>109</v>
      </c>
      <c r="F33" s="5" t="s">
        <v>110</v>
      </c>
    </row>
    <row r="34" customFormat="false" ht="15" hidden="false" customHeight="false" outlineLevel="0" collapsed="false">
      <c r="A34" s="5" t="s">
        <v>111</v>
      </c>
      <c r="B34" s="5" t="s">
        <v>112</v>
      </c>
      <c r="C34" s="5" t="s">
        <v>113</v>
      </c>
      <c r="D34" s="7" t="s">
        <v>38</v>
      </c>
      <c r="E34" s="5" t="s">
        <v>114</v>
      </c>
      <c r="F34" s="5"/>
    </row>
    <row r="35" customFormat="false" ht="15" hidden="false" customHeight="false" outlineLevel="0" collapsed="false">
      <c r="A35" s="5" t="s">
        <v>111</v>
      </c>
      <c r="B35" s="5" t="s">
        <v>115</v>
      </c>
      <c r="C35" s="5" t="s">
        <v>116</v>
      </c>
      <c r="D35" s="7" t="s">
        <v>38</v>
      </c>
      <c r="E35" s="5" t="s">
        <v>114</v>
      </c>
      <c r="F35" s="5" t="s">
        <v>117</v>
      </c>
    </row>
    <row r="36" customFormat="false" ht="15" hidden="false" customHeight="false" outlineLevel="0" collapsed="false">
      <c r="A36" s="5" t="s">
        <v>111</v>
      </c>
      <c r="B36" s="5" t="s">
        <v>118</v>
      </c>
      <c r="C36" s="5" t="s">
        <v>119</v>
      </c>
      <c r="D36" s="7" t="s">
        <v>45</v>
      </c>
      <c r="E36" s="5"/>
      <c r="F36" s="5" t="s">
        <v>120</v>
      </c>
    </row>
    <row r="37" customFormat="false" ht="15" hidden="false" customHeight="false" outlineLevel="0" collapsed="false">
      <c r="A37" s="5" t="s">
        <v>111</v>
      </c>
      <c r="B37" s="5" t="s">
        <v>121</v>
      </c>
      <c r="C37" s="5" t="s">
        <v>122</v>
      </c>
      <c r="D37" s="7" t="s">
        <v>38</v>
      </c>
      <c r="E37" s="5" t="s">
        <v>123</v>
      </c>
      <c r="F37" s="5"/>
    </row>
    <row r="38" customFormat="false" ht="15" hidden="false" customHeight="false" outlineLevel="0" collapsed="false">
      <c r="A38" s="5" t="s">
        <v>111</v>
      </c>
      <c r="B38" s="5" t="s">
        <v>124</v>
      </c>
      <c r="C38" s="5" t="s">
        <v>125</v>
      </c>
      <c r="D38" s="7" t="s">
        <v>38</v>
      </c>
      <c r="E38" s="5" t="s">
        <v>123</v>
      </c>
      <c r="F38" s="5"/>
    </row>
    <row r="39" customFormat="false" ht="15" hidden="false" customHeight="false" outlineLevel="0" collapsed="false">
      <c r="A39" s="5" t="s">
        <v>111</v>
      </c>
      <c r="B39" s="5" t="s">
        <v>126</v>
      </c>
      <c r="C39" s="5" t="s">
        <v>127</v>
      </c>
      <c r="D39" s="7" t="s">
        <v>38</v>
      </c>
      <c r="E39" s="5" t="s">
        <v>114</v>
      </c>
      <c r="F39" s="5"/>
    </row>
    <row r="40" customFormat="false" ht="15" hidden="false" customHeight="false" outlineLevel="0" collapsed="false">
      <c r="A40" s="5" t="s">
        <v>111</v>
      </c>
      <c r="B40" s="5" t="s">
        <v>128</v>
      </c>
      <c r="C40" s="5" t="s">
        <v>129</v>
      </c>
      <c r="D40" s="7" t="s">
        <v>45</v>
      </c>
      <c r="E40" s="5"/>
      <c r="F40" s="5"/>
    </row>
    <row r="41" customFormat="false" ht="15" hidden="false" customHeight="false" outlineLevel="0" collapsed="false">
      <c r="A41" s="5" t="s">
        <v>111</v>
      </c>
      <c r="B41" s="5" t="s">
        <v>130</v>
      </c>
      <c r="C41" s="5" t="s">
        <v>131</v>
      </c>
      <c r="D41" s="7" t="s">
        <v>45</v>
      </c>
      <c r="E41" s="5"/>
      <c r="F41" s="5"/>
    </row>
    <row r="42" customFormat="false" ht="15" hidden="false" customHeight="false" outlineLevel="0" collapsed="false">
      <c r="A42" s="5" t="s">
        <v>111</v>
      </c>
      <c r="B42" s="5" t="s">
        <v>132</v>
      </c>
      <c r="C42" s="5" t="s">
        <v>133</v>
      </c>
      <c r="D42" s="7" t="s">
        <v>45</v>
      </c>
      <c r="E42" s="5"/>
      <c r="F42" s="5"/>
    </row>
    <row r="43" customFormat="false" ht="15" hidden="false" customHeight="false" outlineLevel="0" collapsed="false">
      <c r="A43" s="5" t="s">
        <v>111</v>
      </c>
      <c r="B43" s="5" t="s">
        <v>134</v>
      </c>
      <c r="C43" s="5" t="s">
        <v>135</v>
      </c>
      <c r="D43" s="7" t="s">
        <v>45</v>
      </c>
      <c r="E43" s="5"/>
      <c r="F43" s="5"/>
    </row>
    <row r="44" customFormat="false" ht="15" hidden="false" customHeight="false" outlineLevel="0" collapsed="false">
      <c r="A44" s="5" t="s">
        <v>111</v>
      </c>
      <c r="B44" s="5" t="s">
        <v>136</v>
      </c>
      <c r="C44" s="5" t="s">
        <v>137</v>
      </c>
      <c r="D44" s="7" t="s">
        <v>38</v>
      </c>
      <c r="E44" s="5" t="s">
        <v>138</v>
      </c>
      <c r="F44" s="5"/>
    </row>
    <row r="45" customFormat="false" ht="15" hidden="false" customHeight="false" outlineLevel="0" collapsed="false">
      <c r="A45" s="5" t="s">
        <v>139</v>
      </c>
      <c r="B45" s="5" t="s">
        <v>140</v>
      </c>
      <c r="C45" s="5" t="s">
        <v>141</v>
      </c>
      <c r="D45" s="7" t="s">
        <v>38</v>
      </c>
      <c r="E45" s="5" t="s">
        <v>142</v>
      </c>
      <c r="F45" s="5" t="s">
        <v>143</v>
      </c>
    </row>
    <row r="46" customFormat="false" ht="15" hidden="false" customHeight="false" outlineLevel="0" collapsed="false">
      <c r="A46" s="5" t="s">
        <v>139</v>
      </c>
      <c r="B46" s="5" t="s">
        <v>144</v>
      </c>
      <c r="C46" s="5" t="s">
        <v>145</v>
      </c>
      <c r="D46" s="7" t="s">
        <v>45</v>
      </c>
      <c r="E46" s="5"/>
      <c r="F46" s="5"/>
    </row>
    <row r="47" customFormat="false" ht="15" hidden="false" customHeight="false" outlineLevel="0" collapsed="false">
      <c r="A47" s="5" t="s">
        <v>139</v>
      </c>
      <c r="B47" s="5" t="s">
        <v>142</v>
      </c>
      <c r="C47" s="5" t="s">
        <v>146</v>
      </c>
      <c r="D47" s="7" t="s">
        <v>38</v>
      </c>
      <c r="E47" s="5" t="s">
        <v>147</v>
      </c>
      <c r="F47" s="5"/>
    </row>
    <row r="48" customFormat="false" ht="15" hidden="false" customHeight="false" outlineLevel="0" collapsed="false">
      <c r="A48" s="5" t="s">
        <v>139</v>
      </c>
      <c r="B48" s="5" t="s">
        <v>148</v>
      </c>
      <c r="C48" s="5" t="s">
        <v>149</v>
      </c>
      <c r="D48" s="7" t="s">
        <v>38</v>
      </c>
      <c r="E48" s="5" t="s">
        <v>142</v>
      </c>
      <c r="F48" s="5"/>
    </row>
    <row r="49" customFormat="false" ht="15" hidden="false" customHeight="false" outlineLevel="0" collapsed="false">
      <c r="A49" s="5" t="s">
        <v>139</v>
      </c>
      <c r="B49" s="5" t="s">
        <v>150</v>
      </c>
      <c r="C49" s="5" t="s">
        <v>151</v>
      </c>
      <c r="D49" s="7" t="s">
        <v>45</v>
      </c>
      <c r="E49" s="5"/>
      <c r="F49" s="5"/>
    </row>
  </sheetData>
  <dataValidations count="1">
    <dataValidation allowBlank="true" errorStyle="stop" operator="between" showDropDown="false" showErrorMessage="false" showInputMessage="false" sqref="D5:D4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4" t="s">
        <v>29</v>
      </c>
      <c r="B3" s="4" t="s">
        <v>153</v>
      </c>
      <c r="C3" s="4" t="s">
        <v>154</v>
      </c>
      <c r="D3" s="4" t="s">
        <v>155</v>
      </c>
    </row>
    <row r="4" customFormat="false" ht="15" hidden="false" customHeight="false" outlineLevel="0" collapsed="false">
      <c r="A4" s="2" t="s">
        <v>35</v>
      </c>
      <c r="B4" s="2" t="n">
        <f aca="false">COUNTIF(Checklist!$A$5:$A$49,A4)</f>
        <v>8</v>
      </c>
      <c r="C4" s="2" t="n">
        <f aca="false">COUNTIFS(Checklist!$A$5:$A$49,A4,Checklist!$D$5:$D$49,"Y")</f>
        <v>5</v>
      </c>
      <c r="D4" s="8" t="n">
        <f aca="false">IF(B4=0,0,C4/B4)</f>
        <v>0.625</v>
      </c>
    </row>
    <row r="5" customFormat="false" ht="15" hidden="false" customHeight="false" outlineLevel="0" collapsed="false">
      <c r="A5" s="2" t="s">
        <v>59</v>
      </c>
      <c r="B5" s="2" t="n">
        <f aca="false">COUNTIF(Checklist!$A$5:$A$49,A5)</f>
        <v>10</v>
      </c>
      <c r="C5" s="2" t="n">
        <f aca="false">COUNTIFS(Checklist!$A$5:$A$49,A5,Checklist!$D$5:$D$49,"Y")</f>
        <v>5</v>
      </c>
      <c r="D5" s="8" t="n">
        <f aca="false">IF(B5=0,0,C5/B5)</f>
        <v>0.5</v>
      </c>
    </row>
    <row r="6" customFormat="false" ht="15" hidden="false" customHeight="false" outlineLevel="0" collapsed="false">
      <c r="A6" s="2" t="s">
        <v>84</v>
      </c>
      <c r="B6" s="2" t="n">
        <f aca="false">COUNTIF(Checklist!$A$5:$A$49,A6)</f>
        <v>4</v>
      </c>
      <c r="C6" s="2" t="n">
        <f aca="false">COUNTIFS(Checklist!$A$5:$A$49,A6,Checklist!$D$5:$D$49,"Y")</f>
        <v>0</v>
      </c>
      <c r="D6" s="8" t="n">
        <f aca="false">IF(B6=0,0,C6/B6)</f>
        <v>0</v>
      </c>
    </row>
    <row r="7" customFormat="false" ht="15" hidden="false" customHeight="false" outlineLevel="0" collapsed="false">
      <c r="A7" s="2" t="s">
        <v>92</v>
      </c>
      <c r="B7" s="2" t="n">
        <f aca="false">COUNTIF(Checklist!$A$5:$A$49,A7)</f>
        <v>3</v>
      </c>
      <c r="C7" s="2" t="n">
        <f aca="false">COUNTIFS(Checklist!$A$5:$A$49,A7,Checklist!$D$5:$D$49,"Y")</f>
        <v>0</v>
      </c>
      <c r="D7" s="8" t="n">
        <f aca="false">IF(B7=0,0,C7/B7)</f>
        <v>0</v>
      </c>
    </row>
    <row r="8" customFormat="false" ht="15" hidden="false" customHeight="false" outlineLevel="0" collapsed="false">
      <c r="A8" s="2" t="s">
        <v>99</v>
      </c>
      <c r="B8" s="2" t="n">
        <f aca="false">COUNTIF(Checklist!$A$5:$A$49,A8)</f>
        <v>4</v>
      </c>
      <c r="C8" s="2" t="n">
        <f aca="false">COUNTIFS(Checklist!$A$5:$A$49,A8,Checklist!$D$5:$D$49,"Y")</f>
        <v>3</v>
      </c>
      <c r="D8" s="8" t="n">
        <f aca="false">IF(B8=0,0,C8/B8)</f>
        <v>0.75</v>
      </c>
    </row>
    <row r="9" customFormat="false" ht="15" hidden="false" customHeight="false" outlineLevel="0" collapsed="false">
      <c r="A9" s="2" t="s">
        <v>111</v>
      </c>
      <c r="B9" s="2" t="n">
        <f aca="false">COUNTIF(Checklist!$A$5:$A$49,A9)</f>
        <v>11</v>
      </c>
      <c r="C9" s="2" t="n">
        <f aca="false">COUNTIFS(Checklist!$A$5:$A$49,A9,Checklist!$D$5:$D$49,"Y")</f>
        <v>6</v>
      </c>
      <c r="D9" s="8" t="n">
        <f aca="false">IF(B9=0,0,C9/B9)</f>
        <v>0.545454545454545</v>
      </c>
    </row>
    <row r="10" customFormat="false" ht="15" hidden="false" customHeight="false" outlineLevel="0" collapsed="false">
      <c r="A10" s="2" t="s">
        <v>139</v>
      </c>
      <c r="B10" s="2" t="n">
        <f aca="false">COUNTIF(Checklist!$A$5:$A$49,A10)</f>
        <v>5</v>
      </c>
      <c r="C10" s="2" t="n">
        <f aca="false">COUNTIFS(Checklist!$A$5:$A$49,A10,Checklist!$D$5:$D$49,"Y")</f>
        <v>3</v>
      </c>
      <c r="D10" s="8" t="n">
        <f aca="false">IF(B10=0,0,C10/B10)</f>
        <v>0.6</v>
      </c>
    </row>
    <row r="11" customFormat="false" ht="15" hidden="false" customHeight="false" outlineLevel="0" collapsed="false">
      <c r="A11" s="3" t="s">
        <v>156</v>
      </c>
      <c r="B11" s="3" t="n">
        <f aca="false">SUM(B4:B10)</f>
        <v>45</v>
      </c>
      <c r="C11" s="3" t="n">
        <f aca="false">SUM(C4:C10)</f>
        <v>22</v>
      </c>
      <c r="D11" s="9" t="n">
        <f aca="false">C11/B11</f>
        <v>0.488888888888889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4" t="s">
        <v>158</v>
      </c>
      <c r="B3" s="4" t="s">
        <v>159</v>
      </c>
      <c r="C3" s="4" t="s">
        <v>160</v>
      </c>
    </row>
    <row r="4" customFormat="false" ht="26.85" hidden="false" customHeight="false" outlineLevel="0" collapsed="false">
      <c r="A4" s="5" t="s">
        <v>161</v>
      </c>
      <c r="B4" s="5" t="s">
        <v>162</v>
      </c>
      <c r="C4" s="5" t="s">
        <v>163</v>
      </c>
    </row>
    <row r="5" customFormat="false" ht="26.85" hidden="false" customHeight="false" outlineLevel="0" collapsed="false">
      <c r="A5" s="5" t="s">
        <v>164</v>
      </c>
      <c r="B5" s="5" t="s">
        <v>165</v>
      </c>
      <c r="C5" s="5" t="s">
        <v>166</v>
      </c>
    </row>
    <row r="6" customFormat="false" ht="26.85" hidden="false" customHeight="false" outlineLevel="0" collapsed="false">
      <c r="A6" s="5" t="s">
        <v>167</v>
      </c>
      <c r="B6" s="5" t="s">
        <v>168</v>
      </c>
      <c r="C6" s="5" t="s">
        <v>169</v>
      </c>
    </row>
    <row r="7" customFormat="false" ht="26.85" hidden="false" customHeight="false" outlineLevel="0" collapsed="false">
      <c r="A7" s="5" t="s">
        <v>170</v>
      </c>
      <c r="B7" s="5" t="s">
        <v>171</v>
      </c>
      <c r="C7" s="5" t="s">
        <v>172</v>
      </c>
    </row>
    <row r="8" customFormat="false" ht="26.85" hidden="false" customHeight="false" outlineLevel="0" collapsed="false">
      <c r="A8" s="5" t="s">
        <v>173</v>
      </c>
      <c r="B8" s="5" t="s">
        <v>174</v>
      </c>
      <c r="C8" s="5" t="s">
        <v>175</v>
      </c>
    </row>
    <row r="9" customFormat="false" ht="26.85" hidden="false" customHeight="false" outlineLevel="0" collapsed="false">
      <c r="A9" s="5" t="s">
        <v>176</v>
      </c>
      <c r="B9" s="5" t="s">
        <v>177</v>
      </c>
      <c r="C9" s="5" t="s">
        <v>178</v>
      </c>
    </row>
    <row r="10" customFormat="false" ht="26.85" hidden="false" customHeight="false" outlineLevel="0" collapsed="false">
      <c r="A10" s="5" t="s">
        <v>179</v>
      </c>
      <c r="B10" s="5" t="s">
        <v>180</v>
      </c>
      <c r="C10" s="5" t="s">
        <v>181</v>
      </c>
    </row>
    <row r="11" customFormat="false" ht="26.85" hidden="false" customHeight="false" outlineLevel="0" collapsed="false">
      <c r="A11" s="5" t="s">
        <v>182</v>
      </c>
      <c r="B11" s="5" t="s">
        <v>183</v>
      </c>
      <c r="C11" s="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2026-10-06T06:29:10Z</dcterms:created>
  <dc:creator>Harshita Sadhna</dc:creator>
  <dc:description/>
  <dc:language>en-US</dc:language>
  <cp:lastModifiedBy/>
  <dcterms:modified xsi:type="dcterms:W3CDTF">2026-10-06T06:29:11Z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